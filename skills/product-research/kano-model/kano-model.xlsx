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o" sheetId="1" state="visible" r:id="rId1"/>
    <sheet xmlns:r="http://schemas.openxmlformats.org/officeDocument/2006/relationships" name="Evaluation table" sheetId="2" state="visible" r:id="rId2"/>
  </sheets>
  <definedNames>
    <definedName name="data_start">Kano!$A$4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7280"/>
      <sz val="11"/>
    </font>
    <font>
      <name val="Arial"/>
      <b val="1"/>
      <sz val="11"/>
    </font>
    <font>
      <name val="Arial"/>
      <sz val="11"/>
    </font>
    <font>
      <name val="Arial"/>
      <b val="1"/>
      <sz val="12"/>
    </font>
    <font>
      <name val="Arial"/>
      <color rgb="006B7280"/>
      <sz val="10"/>
    </font>
  </fonts>
  <fills count="3">
    <fill>
      <patternFill/>
    </fill>
    <fill>
      <patternFill patternType="gray125"/>
    </fill>
    <fill>
      <patternFill patternType="solid">
        <fgColor rgb="00E8F0FC"/>
      </patternFill>
    </fill>
  </fills>
  <borders count="3">
    <border>
      <left/>
      <right/>
      <top/>
      <bottom/>
      <diagonal/>
    </border>
    <border>
      <bottom style="thin">
        <color rgb="00C9CED6"/>
      </bottom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2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3" fillId="2" borderId="0" applyAlignment="1" pivotButton="0" quotePrefix="0" xfId="0">
      <alignment horizontal="center" wrapText="1"/>
    </xf>
    <xf numFmtId="0" fontId="3" fillId="2" borderId="0" pivotButton="0" quotePrefix="0" xfId="0"/>
    <xf numFmtId="0" fontId="4" fillId="0" borderId="2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  <color rgb="00C63D3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pdm-skills</author>
  </authors>
  <commentList>
    <comment ref="A3" authorId="0" shapeId="0">
      <text>
        <t>product property as the user sees it</t>
      </text>
    </comment>
    <comment ref="B3" authorId="0" shapeId="0">
      <text>
        <t>Attractive: delights if present, does not upset if absent.</t>
      </text>
    </comment>
    <comment ref="C3" authorId="0" shapeId="0">
      <text>
        <t>One-dimensional: the better it is done, the happier people are; if absent, they are unhappy.</t>
      </text>
    </comment>
    <comment ref="D3" authorId="0" shapeId="0">
      <text>
        <t>Must-be: not noticed if present, strongly dissatisfying if absent.</t>
      </text>
    </comment>
    <comment ref="E3" authorId="0" shapeId="0">
      <text>
        <t>Indifferent: people do not care whether it is there or not.</t>
      </text>
    </comment>
    <comment ref="F3" authorId="0" shapeId="0">
      <text>
        <t>Reverse: unhappy if present, happy if absent.</t>
      </text>
    </comment>
    <comment ref="G3" authorId="0" shapeId="0">
      <text>
        <t>Questionable: the answers contradict each other, the question was misunderstood.</t>
      </text>
    </comment>
    <comment ref="H3" authorId="0" shapeId="0">
      <text>
        <t>decision on the feature and why</t>
      </text>
    </comment>
    <comment ref="I3" authorId="0" shapeId="0">
      <text>
        <t>sum of answers B to G</t>
      </text>
    </comment>
    <comment ref="J3" authorId="0" shapeId="0">
      <text>
        <t>category with the most answers</t>
      </text>
    </comment>
    <comment ref="K3" authorId="0" shapeId="0">
      <text>
        <t>A+O+M vs I+R+Q category rule</t>
      </text>
    </comment>
    <comment ref="L3" authorId="0" shapeId="0">
      <text>
        <t>share of A and O answers</t>
      </text>
    </comment>
    <comment ref="M3" authorId="0" shapeId="0">
      <text>
        <t>negative share of O and M answers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2" customWidth="1" min="7" max="7"/>
    <col width="40" customWidth="1" min="8" max="8"/>
    <col width="10" customWidth="1" min="9" max="9"/>
    <col width="22" customWidth="1" min="10" max="10"/>
    <col width="16" customWidth="1" min="11" max="11"/>
    <col width="10" customWidth="1" min="12" max="12"/>
    <col width="10" customWidth="1" min="13" max="13"/>
  </cols>
  <sheetData>
    <row r="1">
      <c r="A1" s="1" t="inlineStr">
        <is>
          <t>Kano Model: {{title: product, who was surveyed, how many people, when}}</t>
        </is>
      </c>
    </row>
    <row r="2">
      <c r="A2" s="2" t="n"/>
    </row>
    <row r="3" ht="46" customHeight="1">
      <c r="A3" s="3" t="inlineStr">
        <is>
          <t>Feature</t>
        </is>
      </c>
      <c r="B3" s="3" t="inlineStr">
        <is>
          <t>A
attractive</t>
        </is>
      </c>
      <c r="C3" s="3" t="inlineStr">
        <is>
          <t>O
one-dimensional</t>
        </is>
      </c>
      <c r="D3" s="3" t="inlineStr">
        <is>
          <t>M
must-be</t>
        </is>
      </c>
      <c r="E3" s="3" t="inlineStr">
        <is>
          <t>I
indifferent</t>
        </is>
      </c>
      <c r="F3" s="3" t="inlineStr">
        <is>
          <t>R
reverse</t>
        </is>
      </c>
      <c r="G3" s="3" t="inlineStr">
        <is>
          <t>Q
questionable</t>
        </is>
      </c>
      <c r="H3" s="3" t="inlineStr">
        <is>
          <t>Decision</t>
        </is>
      </c>
      <c r="I3" s="3" t="inlineStr">
        <is>
          <t>Answers</t>
        </is>
      </c>
      <c r="J3" s="3" t="inlineStr">
        <is>
          <t>Category</t>
        </is>
      </c>
      <c r="K3" s="3" t="inlineStr">
        <is>
          <t>Category
by most answers</t>
        </is>
      </c>
      <c r="L3" s="3" t="inlineStr">
        <is>
          <t>Better</t>
        </is>
      </c>
      <c r="M3" s="3" t="inlineStr">
        <is>
          <t>Worse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5" t="n"/>
      <c r="I4" s="4">
        <f>IF(COUNT(B4:G4)=0,"",SUM(B4:G4))</f>
        <v/>
      </c>
      <c r="J4" s="4">
        <f>IF(I4="","",IF(COUNTIF(B4:G4,MAX(B4:G4))&gt;1,"tie",IF(MAX(B4:G4)=B4,"A · attractive",IF(MAX(B4:G4)=C4,"O · one-dimensional",IF(MAX(B4:G4)=D4,"M · must-be",IF(MAX(B4:G4)=E4,"I · indifferent",IF(MAX(B4:G4)=F4,"R · reverse",IF(MAX(B4:G4)=G4,"Q · questionable",""))))))))</f>
        <v/>
      </c>
      <c r="K4" s="4">
        <f>IF(I4="","",IF(B4+C4+D4&gt;E4+F4+G4,IF(MAX(C4,B4,D4)=C4,"O · one-dimensional",IF(MAX(C4,B4,D4)=B4,"A · attractive",IF(MAX(C4,B4,D4)=D4,"M · must-be",""))),IF(MAX(E4,F4,G4)=E4,"I · indifferent",IF(MAX(E4,F4,G4)=F4,"R · reverse",IF(MAX(E4,F4,G4)=G4,"Q · questionable","")))))</f>
        <v/>
      </c>
      <c r="L4" s="6">
        <f>IF(OR(I4="",(B4+C4+D4+E4)=0),"",(B4+C4)/(B4+C4+D4+E4))</f>
        <v/>
      </c>
      <c r="M4" s="6">
        <f>IF(OR(I4="",(B4+C4+D4+E4)=0),"",-(C4+D4)/(B4+C4+D4+E4))</f>
        <v/>
      </c>
    </row>
    <row r="5">
      <c r="A5" s="4" t="n"/>
      <c r="B5" s="4" t="n"/>
      <c r="C5" s="4" t="n"/>
      <c r="D5" s="4" t="n"/>
      <c r="E5" s="4" t="n"/>
      <c r="F5" s="4" t="n"/>
      <c r="G5" s="4" t="n"/>
      <c r="H5" s="5" t="n"/>
      <c r="I5" s="4">
        <f>IF(COUNT(B5:G5)=0,"",SUM(B5:G5))</f>
        <v/>
      </c>
      <c r="J5" s="4">
        <f>IF(I5="","",IF(COUNTIF(B5:G5,MAX(B5:G5))&gt;1,"tie",IF(MAX(B5:G5)=B5,"A · attractive",IF(MAX(B5:G5)=C5,"O · one-dimensional",IF(MAX(B5:G5)=D5,"M · must-be",IF(MAX(B5:G5)=E5,"I · indifferent",IF(MAX(B5:G5)=F5,"R · reverse",IF(MAX(B5:G5)=G5,"Q · questionable",""))))))))</f>
        <v/>
      </c>
      <c r="K5" s="4">
        <f>IF(I5="","",IF(B5+C5+D5&gt;E5+F5+G5,IF(MAX(C5,B5,D5)=C5,"O · one-dimensional",IF(MAX(C5,B5,D5)=B5,"A · attractive",IF(MAX(C5,B5,D5)=D5,"M · must-be",""))),IF(MAX(E5,F5,G5)=E5,"I · indifferent",IF(MAX(E5,F5,G5)=F5,"R · reverse",IF(MAX(E5,F5,G5)=G5,"Q · questionable","")))))</f>
        <v/>
      </c>
      <c r="L5" s="6">
        <f>IF(OR(I5="",(B5+C5+D5+E5)=0),"",(B5+C5)/(B5+C5+D5+E5))</f>
        <v/>
      </c>
      <c r="M5" s="6">
        <f>IF(OR(I5="",(B5+C5+D5+E5)=0),"",-(C5+D5)/(B5+C5+D5+E5))</f>
        <v/>
      </c>
    </row>
    <row r="6">
      <c r="A6" s="4" t="n"/>
      <c r="B6" s="4" t="n"/>
      <c r="C6" s="4" t="n"/>
      <c r="D6" s="4" t="n"/>
      <c r="E6" s="4" t="n"/>
      <c r="F6" s="4" t="n"/>
      <c r="G6" s="4" t="n"/>
      <c r="H6" s="5" t="n"/>
      <c r="I6" s="4">
        <f>IF(COUNT(B6:G6)=0,"",SUM(B6:G6))</f>
        <v/>
      </c>
      <c r="J6" s="4">
        <f>IF(I6="","",IF(COUNTIF(B6:G6,MAX(B6:G6))&gt;1,"tie",IF(MAX(B6:G6)=B6,"A · attractive",IF(MAX(B6:G6)=C6,"O · one-dimensional",IF(MAX(B6:G6)=D6,"M · must-be",IF(MAX(B6:G6)=E6,"I · indifferent",IF(MAX(B6:G6)=F6,"R · reverse",IF(MAX(B6:G6)=G6,"Q · questionable",""))))))))</f>
        <v/>
      </c>
      <c r="K6" s="4">
        <f>IF(I6="","",IF(B6+C6+D6&gt;E6+F6+G6,IF(MAX(C6,B6,D6)=C6,"O · one-dimensional",IF(MAX(C6,B6,D6)=B6,"A · attractive",IF(MAX(C6,B6,D6)=D6,"M · must-be",""))),IF(MAX(E6,F6,G6)=E6,"I · indifferent",IF(MAX(E6,F6,G6)=F6,"R · reverse",IF(MAX(E6,F6,G6)=G6,"Q · questionable","")))))</f>
        <v/>
      </c>
      <c r="L6" s="6">
        <f>IF(OR(I6="",(B6+C6+D6+E6)=0),"",(B6+C6)/(B6+C6+D6+E6))</f>
        <v/>
      </c>
      <c r="M6" s="6">
        <f>IF(OR(I6="",(B6+C6+D6+E6)=0),"",-(C6+D6)/(B6+C6+D6+E6))</f>
        <v/>
      </c>
    </row>
    <row r="7">
      <c r="A7" s="4" t="n"/>
      <c r="B7" s="4" t="n"/>
      <c r="C7" s="4" t="n"/>
      <c r="D7" s="4" t="n"/>
      <c r="E7" s="4" t="n"/>
      <c r="F7" s="4" t="n"/>
      <c r="G7" s="4" t="n"/>
      <c r="H7" s="5" t="n"/>
      <c r="I7" s="4">
        <f>IF(COUNT(B7:G7)=0,"",SUM(B7:G7))</f>
        <v/>
      </c>
      <c r="J7" s="4">
        <f>IF(I7="","",IF(COUNTIF(B7:G7,MAX(B7:G7))&gt;1,"tie",IF(MAX(B7:G7)=B7,"A · attractive",IF(MAX(B7:G7)=C7,"O · one-dimensional",IF(MAX(B7:G7)=D7,"M · must-be",IF(MAX(B7:G7)=E7,"I · indifferent",IF(MAX(B7:G7)=F7,"R · reverse",IF(MAX(B7:G7)=G7,"Q · questionable",""))))))))</f>
        <v/>
      </c>
      <c r="K7" s="4">
        <f>IF(I7="","",IF(B7+C7+D7&gt;E7+F7+G7,IF(MAX(C7,B7,D7)=C7,"O · one-dimensional",IF(MAX(C7,B7,D7)=B7,"A · attractive",IF(MAX(C7,B7,D7)=D7,"M · must-be",""))),IF(MAX(E7,F7,G7)=E7,"I · indifferent",IF(MAX(E7,F7,G7)=F7,"R · reverse",IF(MAX(E7,F7,G7)=G7,"Q · questionable","")))))</f>
        <v/>
      </c>
      <c r="L7" s="6">
        <f>IF(OR(I7="",(B7+C7+D7+E7)=0),"",(B7+C7)/(B7+C7+D7+E7))</f>
        <v/>
      </c>
      <c r="M7" s="6">
        <f>IF(OR(I7="",(B7+C7+D7+E7)=0),"",-(C7+D7)/(B7+C7+D7+E7))</f>
        <v/>
      </c>
    </row>
    <row r="8">
      <c r="A8" s="4" t="n"/>
      <c r="B8" s="4" t="n"/>
      <c r="C8" s="4" t="n"/>
      <c r="D8" s="4" t="n"/>
      <c r="E8" s="4" t="n"/>
      <c r="F8" s="4" t="n"/>
      <c r="G8" s="4" t="n"/>
      <c r="H8" s="5" t="n"/>
      <c r="I8" s="4">
        <f>IF(COUNT(B8:G8)=0,"",SUM(B8:G8))</f>
        <v/>
      </c>
      <c r="J8" s="4">
        <f>IF(I8="","",IF(COUNTIF(B8:G8,MAX(B8:G8))&gt;1,"tie",IF(MAX(B8:G8)=B8,"A · attractive",IF(MAX(B8:G8)=C8,"O · one-dimensional",IF(MAX(B8:G8)=D8,"M · must-be",IF(MAX(B8:G8)=E8,"I · indifferent",IF(MAX(B8:G8)=F8,"R · reverse",IF(MAX(B8:G8)=G8,"Q · questionable",""))))))))</f>
        <v/>
      </c>
      <c r="K8" s="4">
        <f>IF(I8="","",IF(B8+C8+D8&gt;E8+F8+G8,IF(MAX(C8,B8,D8)=C8,"O · one-dimensional",IF(MAX(C8,B8,D8)=B8,"A · attractive",IF(MAX(C8,B8,D8)=D8,"M · must-be",""))),IF(MAX(E8,F8,G8)=E8,"I · indifferent",IF(MAX(E8,F8,G8)=F8,"R · reverse",IF(MAX(E8,F8,G8)=G8,"Q · questionable","")))))</f>
        <v/>
      </c>
      <c r="L8" s="6">
        <f>IF(OR(I8="",(B8+C8+D8+E8)=0),"",(B8+C8)/(B8+C8+D8+E8))</f>
        <v/>
      </c>
      <c r="M8" s="6">
        <f>IF(OR(I8="",(B8+C8+D8+E8)=0),"",-(C8+D8)/(B8+C8+D8+E8))</f>
        <v/>
      </c>
    </row>
    <row r="9">
      <c r="A9" s="4" t="n"/>
      <c r="B9" s="4" t="n"/>
      <c r="C9" s="4" t="n"/>
      <c r="D9" s="4" t="n"/>
      <c r="E9" s="4" t="n"/>
      <c r="F9" s="4" t="n"/>
      <c r="G9" s="4" t="n"/>
      <c r="H9" s="5" t="n"/>
      <c r="I9" s="4">
        <f>IF(COUNT(B9:G9)=0,"",SUM(B9:G9))</f>
        <v/>
      </c>
      <c r="J9" s="4">
        <f>IF(I9="","",IF(COUNTIF(B9:G9,MAX(B9:G9))&gt;1,"tie",IF(MAX(B9:G9)=B9,"A · attractive",IF(MAX(B9:G9)=C9,"O · one-dimensional",IF(MAX(B9:G9)=D9,"M · must-be",IF(MAX(B9:G9)=E9,"I · indifferent",IF(MAX(B9:G9)=F9,"R · reverse",IF(MAX(B9:G9)=G9,"Q · questionable",""))))))))</f>
        <v/>
      </c>
      <c r="K9" s="4">
        <f>IF(I9="","",IF(B9+C9+D9&gt;E9+F9+G9,IF(MAX(C9,B9,D9)=C9,"O · one-dimensional",IF(MAX(C9,B9,D9)=B9,"A · attractive",IF(MAX(C9,B9,D9)=D9,"M · must-be",""))),IF(MAX(E9,F9,G9)=E9,"I · indifferent",IF(MAX(E9,F9,G9)=F9,"R · reverse",IF(MAX(E9,F9,G9)=G9,"Q · questionable","")))))</f>
        <v/>
      </c>
      <c r="L9" s="6">
        <f>IF(OR(I9="",(B9+C9+D9+E9)=0),"",(B9+C9)/(B9+C9+D9+E9))</f>
        <v/>
      </c>
      <c r="M9" s="6">
        <f>IF(OR(I9="",(B9+C9+D9+E9)=0),"",-(C9+D9)/(B9+C9+D9+E9))</f>
        <v/>
      </c>
    </row>
    <row r="10">
      <c r="A10" s="4" t="n"/>
      <c r="B10" s="4" t="n"/>
      <c r="C10" s="4" t="n"/>
      <c r="D10" s="4" t="n"/>
      <c r="E10" s="4" t="n"/>
      <c r="F10" s="4" t="n"/>
      <c r="G10" s="4" t="n"/>
      <c r="H10" s="5" t="n"/>
      <c r="I10" s="4">
        <f>IF(COUNT(B10:G10)=0,"",SUM(B10:G10))</f>
        <v/>
      </c>
      <c r="J10" s="4">
        <f>IF(I10="","",IF(COUNTIF(B10:G10,MAX(B10:G10))&gt;1,"tie",IF(MAX(B10:G10)=B10,"A · attractive",IF(MAX(B10:G10)=C10,"O · one-dimensional",IF(MAX(B10:G10)=D10,"M · must-be",IF(MAX(B10:G10)=E10,"I · indifferent",IF(MAX(B10:G10)=F10,"R · reverse",IF(MAX(B10:G10)=G10,"Q · questionable",""))))))))</f>
        <v/>
      </c>
      <c r="K10" s="4">
        <f>IF(I10="","",IF(B10+C10+D10&gt;E10+F10+G10,IF(MAX(C10,B10,D10)=C10,"O · one-dimensional",IF(MAX(C10,B10,D10)=B10,"A · attractive",IF(MAX(C10,B10,D10)=D10,"M · must-be",""))),IF(MAX(E10,F10,G10)=E10,"I · indifferent",IF(MAX(E10,F10,G10)=F10,"R · reverse",IF(MAX(E10,F10,G10)=G10,"Q · questionable","")))))</f>
        <v/>
      </c>
      <c r="L10" s="6">
        <f>IF(OR(I10="",(B10+C10+D10+E10)=0),"",(B10+C10)/(B10+C10+D10+E10))</f>
        <v/>
      </c>
      <c r="M10" s="6">
        <f>IF(OR(I10="",(B10+C10+D10+E10)=0),"",-(C10+D10)/(B10+C10+D10+E10))</f>
        <v/>
      </c>
    </row>
    <row r="11">
      <c r="A11" s="4" t="n"/>
      <c r="B11" s="4" t="n"/>
      <c r="C11" s="4" t="n"/>
      <c r="D11" s="4" t="n"/>
      <c r="E11" s="4" t="n"/>
      <c r="F11" s="4" t="n"/>
      <c r="G11" s="4" t="n"/>
      <c r="H11" s="5" t="n"/>
      <c r="I11" s="4">
        <f>IF(COUNT(B11:G11)=0,"",SUM(B11:G11))</f>
        <v/>
      </c>
      <c r="J11" s="4">
        <f>IF(I11="","",IF(COUNTIF(B11:G11,MAX(B11:G11))&gt;1,"tie",IF(MAX(B11:G11)=B11,"A · attractive",IF(MAX(B11:G11)=C11,"O · one-dimensional",IF(MAX(B11:G11)=D11,"M · must-be",IF(MAX(B11:G11)=E11,"I · indifferent",IF(MAX(B11:G11)=F11,"R · reverse",IF(MAX(B11:G11)=G11,"Q · questionable",""))))))))</f>
        <v/>
      </c>
      <c r="K11" s="4">
        <f>IF(I11="","",IF(B11+C11+D11&gt;E11+F11+G11,IF(MAX(C11,B11,D11)=C11,"O · one-dimensional",IF(MAX(C11,B11,D11)=B11,"A · attractive",IF(MAX(C11,B11,D11)=D11,"M · must-be",""))),IF(MAX(E11,F11,G11)=E11,"I · indifferent",IF(MAX(E11,F11,G11)=F11,"R · reverse",IF(MAX(E11,F11,G11)=G11,"Q · questionable","")))))</f>
        <v/>
      </c>
      <c r="L11" s="6">
        <f>IF(OR(I11="",(B11+C11+D11+E11)=0),"",(B11+C11)/(B11+C11+D11+E11))</f>
        <v/>
      </c>
      <c r="M11" s="6">
        <f>IF(OR(I11="",(B11+C11+D11+E11)=0),"",-(C11+D11)/(B11+C11+D11+E11))</f>
        <v/>
      </c>
    </row>
    <row r="12">
      <c r="A12" s="4" t="n"/>
      <c r="B12" s="4" t="n"/>
      <c r="C12" s="4" t="n"/>
      <c r="D12" s="4" t="n"/>
      <c r="E12" s="4" t="n"/>
      <c r="F12" s="4" t="n"/>
      <c r="G12" s="4" t="n"/>
      <c r="H12" s="5" t="n"/>
      <c r="I12" s="4">
        <f>IF(COUNT(B12:G12)=0,"",SUM(B12:G12))</f>
        <v/>
      </c>
      <c r="J12" s="4">
        <f>IF(I12="","",IF(COUNTIF(B12:G12,MAX(B12:G12))&gt;1,"tie",IF(MAX(B12:G12)=B12,"A · attractive",IF(MAX(B12:G12)=C12,"O · one-dimensional",IF(MAX(B12:G12)=D12,"M · must-be",IF(MAX(B12:G12)=E12,"I · indifferent",IF(MAX(B12:G12)=F12,"R · reverse",IF(MAX(B12:G12)=G12,"Q · questionable",""))))))))</f>
        <v/>
      </c>
      <c r="K12" s="4">
        <f>IF(I12="","",IF(B12+C12+D12&gt;E12+F12+G12,IF(MAX(C12,B12,D12)=C12,"O · one-dimensional",IF(MAX(C12,B12,D12)=B12,"A · attractive",IF(MAX(C12,B12,D12)=D12,"M · must-be",""))),IF(MAX(E12,F12,G12)=E12,"I · indifferent",IF(MAX(E12,F12,G12)=F12,"R · reverse",IF(MAX(E12,F12,G12)=G12,"Q · questionable","")))))</f>
        <v/>
      </c>
      <c r="L12" s="6">
        <f>IF(OR(I12="",(B12+C12+D12+E12)=0),"",(B12+C12)/(B12+C12+D12+E12))</f>
        <v/>
      </c>
      <c r="M12" s="6">
        <f>IF(OR(I12="",(B12+C12+D12+E12)=0),"",-(C12+D12)/(B12+C12+D12+E12))</f>
        <v/>
      </c>
    </row>
    <row r="13">
      <c r="A13" s="4" t="n"/>
      <c r="B13" s="4" t="n"/>
      <c r="C13" s="4" t="n"/>
      <c r="D13" s="4" t="n"/>
      <c r="E13" s="4" t="n"/>
      <c r="F13" s="4" t="n"/>
      <c r="G13" s="4" t="n"/>
      <c r="H13" s="5" t="n"/>
      <c r="I13" s="4">
        <f>IF(COUNT(B13:G13)=0,"",SUM(B13:G13))</f>
        <v/>
      </c>
      <c r="J13" s="4">
        <f>IF(I13="","",IF(COUNTIF(B13:G13,MAX(B13:G13))&gt;1,"tie",IF(MAX(B13:G13)=B13,"A · attractive",IF(MAX(B13:G13)=C13,"O · one-dimensional",IF(MAX(B13:G13)=D13,"M · must-be",IF(MAX(B13:G13)=E13,"I · indifferent",IF(MAX(B13:G13)=F13,"R · reverse",IF(MAX(B13:G13)=G13,"Q · questionable",""))))))))</f>
        <v/>
      </c>
      <c r="K13" s="4">
        <f>IF(I13="","",IF(B13+C13+D13&gt;E13+F13+G13,IF(MAX(C13,B13,D13)=C13,"O · one-dimensional",IF(MAX(C13,B13,D13)=B13,"A · attractive",IF(MAX(C13,B13,D13)=D13,"M · must-be",""))),IF(MAX(E13,F13,G13)=E13,"I · indifferent",IF(MAX(E13,F13,G13)=F13,"R · reverse",IF(MAX(E13,F13,G13)=G13,"Q · questionable","")))))</f>
        <v/>
      </c>
      <c r="L13" s="6">
        <f>IF(OR(I13="",(B13+C13+D13+E13)=0),"",(B13+C13)/(B13+C13+D13+E13))</f>
        <v/>
      </c>
      <c r="M13" s="6">
        <f>IF(OR(I13="",(B13+C13+D13+E13)=0),"",-(C13+D13)/(B13+C13+D13+E13))</f>
        <v/>
      </c>
    </row>
    <row r="14">
      <c r="A14" s="4" t="n"/>
      <c r="B14" s="4" t="n"/>
      <c r="C14" s="4" t="n"/>
      <c r="D14" s="4" t="n"/>
      <c r="E14" s="4" t="n"/>
      <c r="F14" s="4" t="n"/>
      <c r="G14" s="4" t="n"/>
      <c r="H14" s="5" t="n"/>
      <c r="I14" s="4">
        <f>IF(COUNT(B14:G14)=0,"",SUM(B14:G14))</f>
        <v/>
      </c>
      <c r="J14" s="4">
        <f>IF(I14="","",IF(COUNTIF(B14:G14,MAX(B14:G14))&gt;1,"tie",IF(MAX(B14:G14)=B14,"A · attractive",IF(MAX(B14:G14)=C14,"O · one-dimensional",IF(MAX(B14:G14)=D14,"M · must-be",IF(MAX(B14:G14)=E14,"I · indifferent",IF(MAX(B14:G14)=F14,"R · reverse",IF(MAX(B14:G14)=G14,"Q · questionable",""))))))))</f>
        <v/>
      </c>
      <c r="K14" s="4">
        <f>IF(I14="","",IF(B14+C14+D14&gt;E14+F14+G14,IF(MAX(C14,B14,D14)=C14,"O · one-dimensional",IF(MAX(C14,B14,D14)=B14,"A · attractive",IF(MAX(C14,B14,D14)=D14,"M · must-be",""))),IF(MAX(E14,F14,G14)=E14,"I · indifferent",IF(MAX(E14,F14,G14)=F14,"R · reverse",IF(MAX(E14,F14,G14)=G14,"Q · questionable","")))))</f>
        <v/>
      </c>
      <c r="L14" s="6">
        <f>IF(OR(I14="",(B14+C14+D14+E14)=0),"",(B14+C14)/(B14+C14+D14+E14))</f>
        <v/>
      </c>
      <c r="M14" s="6">
        <f>IF(OR(I14="",(B14+C14+D14+E14)=0),"",-(C14+D14)/(B14+C14+D14+E14))</f>
        <v/>
      </c>
    </row>
    <row r="15">
      <c r="A15" s="4" t="n"/>
      <c r="B15" s="4" t="n"/>
      <c r="C15" s="4" t="n"/>
      <c r="D15" s="4" t="n"/>
      <c r="E15" s="4" t="n"/>
      <c r="F15" s="4" t="n"/>
      <c r="G15" s="4" t="n"/>
      <c r="H15" s="5" t="n"/>
      <c r="I15" s="4">
        <f>IF(COUNT(B15:G15)=0,"",SUM(B15:G15))</f>
        <v/>
      </c>
      <c r="J15" s="4">
        <f>IF(I15="","",IF(COUNTIF(B15:G15,MAX(B15:G15))&gt;1,"tie",IF(MAX(B15:G15)=B15,"A · attractive",IF(MAX(B15:G15)=C15,"O · one-dimensional",IF(MAX(B15:G15)=D15,"M · must-be",IF(MAX(B15:G15)=E15,"I · indifferent",IF(MAX(B15:G15)=F15,"R · reverse",IF(MAX(B15:G15)=G15,"Q · questionable",""))))))))</f>
        <v/>
      </c>
      <c r="K15" s="4">
        <f>IF(I15="","",IF(B15+C15+D15&gt;E15+F15+G15,IF(MAX(C15,B15,D15)=C15,"O · one-dimensional",IF(MAX(C15,B15,D15)=B15,"A · attractive",IF(MAX(C15,B15,D15)=D15,"M · must-be",""))),IF(MAX(E15,F15,G15)=E15,"I · indifferent",IF(MAX(E15,F15,G15)=F15,"R · reverse",IF(MAX(E15,F15,G15)=G15,"Q · questionable","")))))</f>
        <v/>
      </c>
      <c r="L15" s="6">
        <f>IF(OR(I15="",(B15+C15+D15+E15)=0),"",(B15+C15)/(B15+C15+D15+E15))</f>
        <v/>
      </c>
      <c r="M15" s="6">
        <f>IF(OR(I15="",(B15+C15+D15+E15)=0),"",-(C15+D15)/(B15+C15+D15+E15))</f>
        <v/>
      </c>
    </row>
    <row r="16">
      <c r="A16" s="4" t="n"/>
      <c r="B16" s="4" t="n"/>
      <c r="C16" s="4" t="n"/>
      <c r="D16" s="4" t="n"/>
      <c r="E16" s="4" t="n"/>
      <c r="F16" s="4" t="n"/>
      <c r="G16" s="4" t="n"/>
      <c r="H16" s="5" t="n"/>
      <c r="I16" s="4">
        <f>IF(COUNT(B16:G16)=0,"",SUM(B16:G16))</f>
        <v/>
      </c>
      <c r="J16" s="4">
        <f>IF(I16="","",IF(COUNTIF(B16:G16,MAX(B16:G16))&gt;1,"tie",IF(MAX(B16:G16)=B16,"A · attractive",IF(MAX(B16:G16)=C16,"O · one-dimensional",IF(MAX(B16:G16)=D16,"M · must-be",IF(MAX(B16:G16)=E16,"I · indifferent",IF(MAX(B16:G16)=F16,"R · reverse",IF(MAX(B16:G16)=G16,"Q · questionable",""))))))))</f>
        <v/>
      </c>
      <c r="K16" s="4">
        <f>IF(I16="","",IF(B16+C16+D16&gt;E16+F16+G16,IF(MAX(C16,B16,D16)=C16,"O · one-dimensional",IF(MAX(C16,B16,D16)=B16,"A · attractive",IF(MAX(C16,B16,D16)=D16,"M · must-be",""))),IF(MAX(E16,F16,G16)=E16,"I · indifferent",IF(MAX(E16,F16,G16)=F16,"R · reverse",IF(MAX(E16,F16,G16)=G16,"Q · questionable","")))))</f>
        <v/>
      </c>
      <c r="L16" s="6">
        <f>IF(OR(I16="",(B16+C16+D16+E16)=0),"",(B16+C16)/(B16+C16+D16+E16))</f>
        <v/>
      </c>
      <c r="M16" s="6">
        <f>IF(OR(I16="",(B16+C16+D16+E16)=0),"",-(C16+D16)/(B16+C16+D16+E16))</f>
        <v/>
      </c>
    </row>
    <row r="17">
      <c r="A17" s="4" t="n"/>
      <c r="B17" s="4" t="n"/>
      <c r="C17" s="4" t="n"/>
      <c r="D17" s="4" t="n"/>
      <c r="E17" s="4" t="n"/>
      <c r="F17" s="4" t="n"/>
      <c r="G17" s="4" t="n"/>
      <c r="H17" s="5" t="n"/>
      <c r="I17" s="4">
        <f>IF(COUNT(B17:G17)=0,"",SUM(B17:G17))</f>
        <v/>
      </c>
      <c r="J17" s="4">
        <f>IF(I17="","",IF(COUNTIF(B17:G17,MAX(B17:G17))&gt;1,"tie",IF(MAX(B17:G17)=B17,"A · attractive",IF(MAX(B17:G17)=C17,"O · one-dimensional",IF(MAX(B17:G17)=D17,"M · must-be",IF(MAX(B17:G17)=E17,"I · indifferent",IF(MAX(B17:G17)=F17,"R · reverse",IF(MAX(B17:G17)=G17,"Q · questionable",""))))))))</f>
        <v/>
      </c>
      <c r="K17" s="4">
        <f>IF(I17="","",IF(B17+C17+D17&gt;E17+F17+G17,IF(MAX(C17,B17,D17)=C17,"O · one-dimensional",IF(MAX(C17,B17,D17)=B17,"A · attractive",IF(MAX(C17,B17,D17)=D17,"M · must-be",""))),IF(MAX(E17,F17,G17)=E17,"I · indifferent",IF(MAX(E17,F17,G17)=F17,"R · reverse",IF(MAX(E17,F17,G17)=G17,"Q · questionable","")))))</f>
        <v/>
      </c>
      <c r="L17" s="6">
        <f>IF(OR(I17="",(B17+C17+D17+E17)=0),"",(B17+C17)/(B17+C17+D17+E17))</f>
        <v/>
      </c>
      <c r="M17" s="6">
        <f>IF(OR(I17="",(B17+C17+D17+E17)=0),"",-(C17+D17)/(B17+C17+D17+E17))</f>
        <v/>
      </c>
    </row>
    <row r="18">
      <c r="A18" s="4" t="n"/>
      <c r="B18" s="4" t="n"/>
      <c r="C18" s="4" t="n"/>
      <c r="D18" s="4" t="n"/>
      <c r="E18" s="4" t="n"/>
      <c r="F18" s="4" t="n"/>
      <c r="G18" s="4" t="n"/>
      <c r="H18" s="5" t="n"/>
      <c r="I18" s="4">
        <f>IF(COUNT(B18:G18)=0,"",SUM(B18:G18))</f>
        <v/>
      </c>
      <c r="J18" s="4">
        <f>IF(I18="","",IF(COUNTIF(B18:G18,MAX(B18:G18))&gt;1,"tie",IF(MAX(B18:G18)=B18,"A · attractive",IF(MAX(B18:G18)=C18,"O · one-dimensional",IF(MAX(B18:G18)=D18,"M · must-be",IF(MAX(B18:G18)=E18,"I · indifferent",IF(MAX(B18:G18)=F18,"R · reverse",IF(MAX(B18:G18)=G18,"Q · questionable",""))))))))</f>
        <v/>
      </c>
      <c r="K18" s="4">
        <f>IF(I18="","",IF(B18+C18+D18&gt;E18+F18+G18,IF(MAX(C18,B18,D18)=C18,"O · one-dimensional",IF(MAX(C18,B18,D18)=B18,"A · attractive",IF(MAX(C18,B18,D18)=D18,"M · must-be",""))),IF(MAX(E18,F18,G18)=E18,"I · indifferent",IF(MAX(E18,F18,G18)=F18,"R · reverse",IF(MAX(E18,F18,G18)=G18,"Q · questionable","")))))</f>
        <v/>
      </c>
      <c r="L18" s="6">
        <f>IF(OR(I18="",(B18+C18+D18+E18)=0),"",(B18+C18)/(B18+C18+D18+E18))</f>
        <v/>
      </c>
      <c r="M18" s="6">
        <f>IF(OR(I18="",(B18+C18+D18+E18)=0),"",-(C18+D18)/(B18+C18+D18+E18))</f>
        <v/>
      </c>
    </row>
    <row r="19">
      <c r="A19" s="4" t="n"/>
      <c r="B19" s="4" t="n"/>
      <c r="C19" s="4" t="n"/>
      <c r="D19" s="4" t="n"/>
      <c r="E19" s="4" t="n"/>
      <c r="F19" s="4" t="n"/>
      <c r="G19" s="4" t="n"/>
      <c r="H19" s="5" t="n"/>
      <c r="I19" s="4">
        <f>IF(COUNT(B19:G19)=0,"",SUM(B19:G19))</f>
        <v/>
      </c>
      <c r="J19" s="4">
        <f>IF(I19="","",IF(COUNTIF(B19:G19,MAX(B19:G19))&gt;1,"tie",IF(MAX(B19:G19)=B19,"A · attractive",IF(MAX(B19:G19)=C19,"O · one-dimensional",IF(MAX(B19:G19)=D19,"M · must-be",IF(MAX(B19:G19)=E19,"I · indifferent",IF(MAX(B19:G19)=F19,"R · reverse",IF(MAX(B19:G19)=G19,"Q · questionable",""))))))))</f>
        <v/>
      </c>
      <c r="K19" s="4">
        <f>IF(I19="","",IF(B19+C19+D19&gt;E19+F19+G19,IF(MAX(C19,B19,D19)=C19,"O · one-dimensional",IF(MAX(C19,B19,D19)=B19,"A · attractive",IF(MAX(C19,B19,D19)=D19,"M · must-be",""))),IF(MAX(E19,F19,G19)=E19,"I · indifferent",IF(MAX(E19,F19,G19)=F19,"R · reverse",IF(MAX(E19,F19,G19)=G19,"Q · questionable","")))))</f>
        <v/>
      </c>
      <c r="L19" s="6">
        <f>IF(OR(I19="",(B19+C19+D19+E19)=0),"",(B19+C19)/(B19+C19+D19+E19))</f>
        <v/>
      </c>
      <c r="M19" s="6">
        <f>IF(OR(I19="",(B19+C19+D19+E19)=0),"",-(C19+D19)/(B19+C19+D19+E19))</f>
        <v/>
      </c>
    </row>
    <row r="20">
      <c r="A20" s="4" t="n"/>
      <c r="B20" s="4" t="n"/>
      <c r="C20" s="4" t="n"/>
      <c r="D20" s="4" t="n"/>
      <c r="E20" s="4" t="n"/>
      <c r="F20" s="4" t="n"/>
      <c r="G20" s="4" t="n"/>
      <c r="H20" s="5" t="n"/>
      <c r="I20" s="4">
        <f>IF(COUNT(B20:G20)=0,"",SUM(B20:G20))</f>
        <v/>
      </c>
      <c r="J20" s="4">
        <f>IF(I20="","",IF(COUNTIF(B20:G20,MAX(B20:G20))&gt;1,"tie",IF(MAX(B20:G20)=B20,"A · attractive",IF(MAX(B20:G20)=C20,"O · one-dimensional",IF(MAX(B20:G20)=D20,"M · must-be",IF(MAX(B20:G20)=E20,"I · indifferent",IF(MAX(B20:G20)=F20,"R · reverse",IF(MAX(B20:G20)=G20,"Q · questionable",""))))))))</f>
        <v/>
      </c>
      <c r="K20" s="4">
        <f>IF(I20="","",IF(B20+C20+D20&gt;E20+F20+G20,IF(MAX(C20,B20,D20)=C20,"O · one-dimensional",IF(MAX(C20,B20,D20)=B20,"A · attractive",IF(MAX(C20,B20,D20)=D20,"M · must-be",""))),IF(MAX(E20,F20,G20)=E20,"I · indifferent",IF(MAX(E20,F20,G20)=F20,"R · reverse",IF(MAX(E20,F20,G20)=G20,"Q · questionable","")))))</f>
        <v/>
      </c>
      <c r="L20" s="6">
        <f>IF(OR(I20="",(B20+C20+D20+E20)=0),"",(B20+C20)/(B20+C20+D20+E20))</f>
        <v/>
      </c>
      <c r="M20" s="6">
        <f>IF(OR(I20="",(B20+C20+D20+E20)=0),"",-(C20+D20)/(B20+C20+D20+E20))</f>
        <v/>
      </c>
    </row>
    <row r="21">
      <c r="A21" s="4" t="n"/>
      <c r="B21" s="4" t="n"/>
      <c r="C21" s="4" t="n"/>
      <c r="D21" s="4" t="n"/>
      <c r="E21" s="4" t="n"/>
      <c r="F21" s="4" t="n"/>
      <c r="G21" s="4" t="n"/>
      <c r="H21" s="5" t="n"/>
      <c r="I21" s="4">
        <f>IF(COUNT(B21:G21)=0,"",SUM(B21:G21))</f>
        <v/>
      </c>
      <c r="J21" s="4">
        <f>IF(I21="","",IF(COUNTIF(B21:G21,MAX(B21:G21))&gt;1,"tie",IF(MAX(B21:G21)=B21,"A · attractive",IF(MAX(B21:G21)=C21,"O · one-dimensional",IF(MAX(B21:G21)=D21,"M · must-be",IF(MAX(B21:G21)=E21,"I · indifferent",IF(MAX(B21:G21)=F21,"R · reverse",IF(MAX(B21:G21)=G21,"Q · questionable",""))))))))</f>
        <v/>
      </c>
      <c r="K21" s="4">
        <f>IF(I21="","",IF(B21+C21+D21&gt;E21+F21+G21,IF(MAX(C21,B21,D21)=C21,"O · one-dimensional",IF(MAX(C21,B21,D21)=B21,"A · attractive",IF(MAX(C21,B21,D21)=D21,"M · must-be",""))),IF(MAX(E21,F21,G21)=E21,"I · indifferent",IF(MAX(E21,F21,G21)=F21,"R · reverse",IF(MAX(E21,F21,G21)=G21,"Q · questionable","")))))</f>
        <v/>
      </c>
      <c r="L21" s="6">
        <f>IF(OR(I21="",(B21+C21+D21+E21)=0),"",(B21+C21)/(B21+C21+D21+E21))</f>
        <v/>
      </c>
      <c r="M21" s="6">
        <f>IF(OR(I21="",(B21+C21+D21+E21)=0),"",-(C21+D21)/(B21+C21+D21+E21))</f>
        <v/>
      </c>
    </row>
    <row r="22">
      <c r="A22" s="4" t="n"/>
      <c r="B22" s="4" t="n"/>
      <c r="C22" s="4" t="n"/>
      <c r="D22" s="4" t="n"/>
      <c r="E22" s="4" t="n"/>
      <c r="F22" s="4" t="n"/>
      <c r="G22" s="4" t="n"/>
      <c r="H22" s="5" t="n"/>
      <c r="I22" s="4">
        <f>IF(COUNT(B22:G22)=0,"",SUM(B22:G22))</f>
        <v/>
      </c>
      <c r="J22" s="4">
        <f>IF(I22="","",IF(COUNTIF(B22:G22,MAX(B22:G22))&gt;1,"tie",IF(MAX(B22:G22)=B22,"A · attractive",IF(MAX(B22:G22)=C22,"O · one-dimensional",IF(MAX(B22:G22)=D22,"M · must-be",IF(MAX(B22:G22)=E22,"I · indifferent",IF(MAX(B22:G22)=F22,"R · reverse",IF(MAX(B22:G22)=G22,"Q · questionable",""))))))))</f>
        <v/>
      </c>
      <c r="K22" s="4">
        <f>IF(I22="","",IF(B22+C22+D22&gt;E22+F22+G22,IF(MAX(C22,B22,D22)=C22,"O · one-dimensional",IF(MAX(C22,B22,D22)=B22,"A · attractive",IF(MAX(C22,B22,D22)=D22,"M · must-be",""))),IF(MAX(E22,F22,G22)=E22,"I · indifferent",IF(MAX(E22,F22,G22)=F22,"R · reverse",IF(MAX(E22,F22,G22)=G22,"Q · questionable","")))))</f>
        <v/>
      </c>
      <c r="L22" s="6">
        <f>IF(OR(I22="",(B22+C22+D22+E22)=0),"",(B22+C22)/(B22+C22+D22+E22))</f>
        <v/>
      </c>
      <c r="M22" s="6">
        <f>IF(OR(I22="",(B22+C22+D22+E22)=0),"",-(C22+D22)/(B22+C22+D22+E22))</f>
        <v/>
      </c>
    </row>
    <row r="23">
      <c r="A23" s="4" t="n"/>
      <c r="B23" s="4" t="n"/>
      <c r="C23" s="4" t="n"/>
      <c r="D23" s="4" t="n"/>
      <c r="E23" s="4" t="n"/>
      <c r="F23" s="4" t="n"/>
      <c r="G23" s="4" t="n"/>
      <c r="H23" s="5" t="n"/>
      <c r="I23" s="4">
        <f>IF(COUNT(B23:G23)=0,"",SUM(B23:G23))</f>
        <v/>
      </c>
      <c r="J23" s="4">
        <f>IF(I23="","",IF(COUNTIF(B23:G23,MAX(B23:G23))&gt;1,"tie",IF(MAX(B23:G23)=B23,"A · attractive",IF(MAX(B23:G23)=C23,"O · one-dimensional",IF(MAX(B23:G23)=D23,"M · must-be",IF(MAX(B23:G23)=E23,"I · indifferent",IF(MAX(B23:G23)=F23,"R · reverse",IF(MAX(B23:G23)=G23,"Q · questionable",""))))))))</f>
        <v/>
      </c>
      <c r="K23" s="4">
        <f>IF(I23="","",IF(B23+C23+D23&gt;E23+F23+G23,IF(MAX(C23,B23,D23)=C23,"O · one-dimensional",IF(MAX(C23,B23,D23)=B23,"A · attractive",IF(MAX(C23,B23,D23)=D23,"M · must-be",""))),IF(MAX(E23,F23,G23)=E23,"I · indifferent",IF(MAX(E23,F23,G23)=F23,"R · reverse",IF(MAX(E23,F23,G23)=G23,"Q · questionable","")))))</f>
        <v/>
      </c>
      <c r="L23" s="6">
        <f>IF(OR(I23="",(B23+C23+D23+E23)=0),"",(B23+C23)/(B23+C23+D23+E23))</f>
        <v/>
      </c>
      <c r="M23" s="6">
        <f>IF(OR(I23="",(B23+C23+D23+E23)=0),"",-(C23+D23)/(B23+C23+D23+E23))</f>
        <v/>
      </c>
    </row>
    <row r="24">
      <c r="A24" s="4" t="n"/>
      <c r="B24" s="4" t="n"/>
      <c r="C24" s="4" t="n"/>
      <c r="D24" s="4" t="n"/>
      <c r="E24" s="4" t="n"/>
      <c r="F24" s="4" t="n"/>
      <c r="G24" s="4" t="n"/>
      <c r="H24" s="5" t="n"/>
      <c r="I24" s="4">
        <f>IF(COUNT(B24:G24)=0,"",SUM(B24:G24))</f>
        <v/>
      </c>
      <c r="J24" s="4">
        <f>IF(I24="","",IF(COUNTIF(B24:G24,MAX(B24:G24))&gt;1,"tie",IF(MAX(B24:G24)=B24,"A · attractive",IF(MAX(B24:G24)=C24,"O · one-dimensional",IF(MAX(B24:G24)=D24,"M · must-be",IF(MAX(B24:G24)=E24,"I · indifferent",IF(MAX(B24:G24)=F24,"R · reverse",IF(MAX(B24:G24)=G24,"Q · questionable",""))))))))</f>
        <v/>
      </c>
      <c r="K24" s="4">
        <f>IF(I24="","",IF(B24+C24+D24&gt;E24+F24+G24,IF(MAX(C24,B24,D24)=C24,"O · one-dimensional",IF(MAX(C24,B24,D24)=B24,"A · attractive",IF(MAX(C24,B24,D24)=D24,"M · must-be",""))),IF(MAX(E24,F24,G24)=E24,"I · indifferent",IF(MAX(E24,F24,G24)=F24,"R · reverse",IF(MAX(E24,F24,G24)=G24,"Q · questionable","")))))</f>
        <v/>
      </c>
      <c r="L24" s="6">
        <f>IF(OR(I24="",(B24+C24+D24+E24)=0),"",(B24+C24)/(B24+C24+D24+E24))</f>
        <v/>
      </c>
      <c r="M24" s="6">
        <f>IF(OR(I24="",(B24+C24+D24+E24)=0),"",-(C24+D24)/(B24+C24+D24+E24))</f>
        <v/>
      </c>
    </row>
    <row r="25">
      <c r="A25" s="4" t="n"/>
      <c r="B25" s="4" t="n"/>
      <c r="C25" s="4" t="n"/>
      <c r="D25" s="4" t="n"/>
      <c r="E25" s="4" t="n"/>
      <c r="F25" s="4" t="n"/>
      <c r="G25" s="4" t="n"/>
      <c r="H25" s="5" t="n"/>
      <c r="I25" s="4">
        <f>IF(COUNT(B25:G25)=0,"",SUM(B25:G25))</f>
        <v/>
      </c>
      <c r="J25" s="4">
        <f>IF(I25="","",IF(COUNTIF(B25:G25,MAX(B25:G25))&gt;1,"tie",IF(MAX(B25:G25)=B25,"A · attractive",IF(MAX(B25:G25)=C25,"O · one-dimensional",IF(MAX(B25:G25)=D25,"M · must-be",IF(MAX(B25:G25)=E25,"I · indifferent",IF(MAX(B25:G25)=F25,"R · reverse",IF(MAX(B25:G25)=G25,"Q · questionable",""))))))))</f>
        <v/>
      </c>
      <c r="K25" s="4">
        <f>IF(I25="","",IF(B25+C25+D25&gt;E25+F25+G25,IF(MAX(C25,B25,D25)=C25,"O · one-dimensional",IF(MAX(C25,B25,D25)=B25,"A · attractive",IF(MAX(C25,B25,D25)=D25,"M · must-be",""))),IF(MAX(E25,F25,G25)=E25,"I · indifferent",IF(MAX(E25,F25,G25)=F25,"R · reverse",IF(MAX(E25,F25,G25)=G25,"Q · questionable","")))))</f>
        <v/>
      </c>
      <c r="L25" s="6">
        <f>IF(OR(I25="",(B25+C25+D25+E25)=0),"",(B25+C25)/(B25+C25+D25+E25))</f>
        <v/>
      </c>
      <c r="M25" s="6">
        <f>IF(OR(I25="",(B25+C25+D25+E25)=0),"",-(C25+D25)/(B25+C25+D25+E25))</f>
        <v/>
      </c>
    </row>
    <row r="26">
      <c r="A26" s="4" t="n"/>
      <c r="B26" s="4" t="n"/>
      <c r="C26" s="4" t="n"/>
      <c r="D26" s="4" t="n"/>
      <c r="E26" s="4" t="n"/>
      <c r="F26" s="4" t="n"/>
      <c r="G26" s="4" t="n"/>
      <c r="H26" s="5" t="n"/>
      <c r="I26" s="4">
        <f>IF(COUNT(B26:G26)=0,"",SUM(B26:G26))</f>
        <v/>
      </c>
      <c r="J26" s="4">
        <f>IF(I26="","",IF(COUNTIF(B26:G26,MAX(B26:G26))&gt;1,"tie",IF(MAX(B26:G26)=B26,"A · attractive",IF(MAX(B26:G26)=C26,"O · one-dimensional",IF(MAX(B26:G26)=D26,"M · must-be",IF(MAX(B26:G26)=E26,"I · indifferent",IF(MAX(B26:G26)=F26,"R · reverse",IF(MAX(B26:G26)=G26,"Q · questionable",""))))))))</f>
        <v/>
      </c>
      <c r="K26" s="4">
        <f>IF(I26="","",IF(B26+C26+D26&gt;E26+F26+G26,IF(MAX(C26,B26,D26)=C26,"O · one-dimensional",IF(MAX(C26,B26,D26)=B26,"A · attractive",IF(MAX(C26,B26,D26)=D26,"M · must-be",""))),IF(MAX(E26,F26,G26)=E26,"I · indifferent",IF(MAX(E26,F26,G26)=F26,"R · reverse",IF(MAX(E26,F26,G26)=G26,"Q · questionable","")))))</f>
        <v/>
      </c>
      <c r="L26" s="6">
        <f>IF(OR(I26="",(B26+C26+D26+E26)=0),"",(B26+C26)/(B26+C26+D26+E26))</f>
        <v/>
      </c>
      <c r="M26" s="6">
        <f>IF(OR(I26="",(B26+C26+D26+E26)=0),"",-(C26+D26)/(B26+C26+D26+E26))</f>
        <v/>
      </c>
    </row>
    <row r="27">
      <c r="A27" s="4" t="n"/>
      <c r="B27" s="4" t="n"/>
      <c r="C27" s="4" t="n"/>
      <c r="D27" s="4" t="n"/>
      <c r="E27" s="4" t="n"/>
      <c r="F27" s="4" t="n"/>
      <c r="G27" s="4" t="n"/>
      <c r="H27" s="5" t="n"/>
      <c r="I27" s="4">
        <f>IF(COUNT(B27:G27)=0,"",SUM(B27:G27))</f>
        <v/>
      </c>
      <c r="J27" s="4">
        <f>IF(I27="","",IF(COUNTIF(B27:G27,MAX(B27:G27))&gt;1,"tie",IF(MAX(B27:G27)=B27,"A · attractive",IF(MAX(B27:G27)=C27,"O · one-dimensional",IF(MAX(B27:G27)=D27,"M · must-be",IF(MAX(B27:G27)=E27,"I · indifferent",IF(MAX(B27:G27)=F27,"R · reverse",IF(MAX(B27:G27)=G27,"Q · questionable",""))))))))</f>
        <v/>
      </c>
      <c r="K27" s="4">
        <f>IF(I27="","",IF(B27+C27+D27&gt;E27+F27+G27,IF(MAX(C27,B27,D27)=C27,"O · one-dimensional",IF(MAX(C27,B27,D27)=B27,"A · attractive",IF(MAX(C27,B27,D27)=D27,"M · must-be",""))),IF(MAX(E27,F27,G27)=E27,"I · indifferent",IF(MAX(E27,F27,G27)=F27,"R · reverse",IF(MAX(E27,F27,G27)=G27,"Q · questionable","")))))</f>
        <v/>
      </c>
      <c r="L27" s="6">
        <f>IF(OR(I27="",(B27+C27+D27+E27)=0),"",(B27+C27)/(B27+C27+D27+E27))</f>
        <v/>
      </c>
      <c r="M27" s="6">
        <f>IF(OR(I27="",(B27+C27+D27+E27)=0),"",-(C27+D27)/(B27+C27+D27+E27))</f>
        <v/>
      </c>
    </row>
    <row r="28">
      <c r="A28" s="4" t="n"/>
      <c r="B28" s="4" t="n"/>
      <c r="C28" s="4" t="n"/>
      <c r="D28" s="4" t="n"/>
      <c r="E28" s="4" t="n"/>
      <c r="F28" s="4" t="n"/>
      <c r="G28" s="4" t="n"/>
      <c r="H28" s="5" t="n"/>
      <c r="I28" s="4">
        <f>IF(COUNT(B28:G28)=0,"",SUM(B28:G28))</f>
        <v/>
      </c>
      <c r="J28" s="4">
        <f>IF(I28="","",IF(COUNTIF(B28:G28,MAX(B28:G28))&gt;1,"tie",IF(MAX(B28:G28)=B28,"A · attractive",IF(MAX(B28:G28)=C28,"O · one-dimensional",IF(MAX(B28:G28)=D28,"M · must-be",IF(MAX(B28:G28)=E28,"I · indifferent",IF(MAX(B28:G28)=F28,"R · reverse",IF(MAX(B28:G28)=G28,"Q · questionable",""))))))))</f>
        <v/>
      </c>
      <c r="K28" s="4">
        <f>IF(I28="","",IF(B28+C28+D28&gt;E28+F28+G28,IF(MAX(C28,B28,D28)=C28,"O · one-dimensional",IF(MAX(C28,B28,D28)=B28,"A · attractive",IF(MAX(C28,B28,D28)=D28,"M · must-be",""))),IF(MAX(E28,F28,G28)=E28,"I · indifferent",IF(MAX(E28,F28,G28)=F28,"R · reverse",IF(MAX(E28,F28,G28)=G28,"Q · questionable","")))))</f>
        <v/>
      </c>
      <c r="L28" s="6">
        <f>IF(OR(I28="",(B28+C28+D28+E28)=0),"",(B28+C28)/(B28+C28+D28+E28))</f>
        <v/>
      </c>
      <c r="M28" s="6">
        <f>IF(OR(I28="",(B28+C28+D28+E28)=0),"",-(C28+D28)/(B28+C28+D28+E28))</f>
        <v/>
      </c>
    </row>
    <row r="29">
      <c r="A29" s="4" t="n"/>
      <c r="B29" s="4" t="n"/>
      <c r="C29" s="4" t="n"/>
      <c r="D29" s="4" t="n"/>
      <c r="E29" s="4" t="n"/>
      <c r="F29" s="4" t="n"/>
      <c r="G29" s="4" t="n"/>
      <c r="H29" s="5" t="n"/>
      <c r="I29" s="4">
        <f>IF(COUNT(B29:G29)=0,"",SUM(B29:G29))</f>
        <v/>
      </c>
      <c r="J29" s="4">
        <f>IF(I29="","",IF(COUNTIF(B29:G29,MAX(B29:G29))&gt;1,"tie",IF(MAX(B29:G29)=B29,"A · attractive",IF(MAX(B29:G29)=C29,"O · one-dimensional",IF(MAX(B29:G29)=D29,"M · must-be",IF(MAX(B29:G29)=E29,"I · indifferent",IF(MAX(B29:G29)=F29,"R · reverse",IF(MAX(B29:G29)=G29,"Q · questionable",""))))))))</f>
        <v/>
      </c>
      <c r="K29" s="4">
        <f>IF(I29="","",IF(B29+C29+D29&gt;E29+F29+G29,IF(MAX(C29,B29,D29)=C29,"O · one-dimensional",IF(MAX(C29,B29,D29)=B29,"A · attractive",IF(MAX(C29,B29,D29)=D29,"M · must-be",""))),IF(MAX(E29,F29,G29)=E29,"I · indifferent",IF(MAX(E29,F29,G29)=F29,"R · reverse",IF(MAX(E29,F29,G29)=G29,"Q · questionable","")))))</f>
        <v/>
      </c>
      <c r="L29" s="6">
        <f>IF(OR(I29="",(B29+C29+D29+E29)=0),"",(B29+C29)/(B29+C29+D29+E29))</f>
        <v/>
      </c>
      <c r="M29" s="6">
        <f>IF(OR(I29="",(B29+C29+D29+E29)=0),"",-(C29+D29)/(B29+C29+D29+E29))</f>
        <v/>
      </c>
    </row>
    <row r="30">
      <c r="A30" s="4" t="n"/>
      <c r="B30" s="4" t="n"/>
      <c r="C30" s="4" t="n"/>
      <c r="D30" s="4" t="n"/>
      <c r="E30" s="4" t="n"/>
      <c r="F30" s="4" t="n"/>
      <c r="G30" s="4" t="n"/>
      <c r="H30" s="5" t="n"/>
      <c r="I30" s="4">
        <f>IF(COUNT(B30:G30)=0,"",SUM(B30:G30))</f>
        <v/>
      </c>
      <c r="J30" s="4">
        <f>IF(I30="","",IF(COUNTIF(B30:G30,MAX(B30:G30))&gt;1,"tie",IF(MAX(B30:G30)=B30,"A · attractive",IF(MAX(B30:G30)=C30,"O · one-dimensional",IF(MAX(B30:G30)=D30,"M · must-be",IF(MAX(B30:G30)=E30,"I · indifferent",IF(MAX(B30:G30)=F30,"R · reverse",IF(MAX(B30:G30)=G30,"Q · questionable",""))))))))</f>
        <v/>
      </c>
      <c r="K30" s="4">
        <f>IF(I30="","",IF(B30+C30+D30&gt;E30+F30+G30,IF(MAX(C30,B30,D30)=C30,"O · one-dimensional",IF(MAX(C30,B30,D30)=B30,"A · attractive",IF(MAX(C30,B30,D30)=D30,"M · must-be",""))),IF(MAX(E30,F30,G30)=E30,"I · indifferent",IF(MAX(E30,F30,G30)=F30,"R · reverse",IF(MAX(E30,F30,G30)=G30,"Q · questionable","")))))</f>
        <v/>
      </c>
      <c r="L30" s="6">
        <f>IF(OR(I30="",(B30+C30+D30+E30)=0),"",(B30+C30)/(B30+C30+D30+E30))</f>
        <v/>
      </c>
      <c r="M30" s="6">
        <f>IF(OR(I30="",(B30+C30+D30+E30)=0),"",-(C30+D30)/(B30+C30+D30+E30))</f>
        <v/>
      </c>
    </row>
    <row r="31">
      <c r="A31" s="4" t="n"/>
      <c r="B31" s="4" t="n"/>
      <c r="C31" s="4" t="n"/>
      <c r="D31" s="4" t="n"/>
      <c r="E31" s="4" t="n"/>
      <c r="F31" s="4" t="n"/>
      <c r="G31" s="4" t="n"/>
      <c r="H31" s="5" t="n"/>
      <c r="I31" s="4">
        <f>IF(COUNT(B31:G31)=0,"",SUM(B31:G31))</f>
        <v/>
      </c>
      <c r="J31" s="4">
        <f>IF(I31="","",IF(COUNTIF(B31:G31,MAX(B31:G31))&gt;1,"tie",IF(MAX(B31:G31)=B31,"A · attractive",IF(MAX(B31:G31)=C31,"O · one-dimensional",IF(MAX(B31:G31)=D31,"M · must-be",IF(MAX(B31:G31)=E31,"I · indifferent",IF(MAX(B31:G31)=F31,"R · reverse",IF(MAX(B31:G31)=G31,"Q · questionable",""))))))))</f>
        <v/>
      </c>
      <c r="K31" s="4">
        <f>IF(I31="","",IF(B31+C31+D31&gt;E31+F31+G31,IF(MAX(C31,B31,D31)=C31,"O · one-dimensional",IF(MAX(C31,B31,D31)=B31,"A · attractive",IF(MAX(C31,B31,D31)=D31,"M · must-be",""))),IF(MAX(E31,F31,G31)=E31,"I · indifferent",IF(MAX(E31,F31,G31)=F31,"R · reverse",IF(MAX(E31,F31,G31)=G31,"Q · questionable","")))))</f>
        <v/>
      </c>
      <c r="L31" s="6">
        <f>IF(OR(I31="",(B31+C31+D31+E31)=0),"",(B31+C31)/(B31+C31+D31+E31))</f>
        <v/>
      </c>
      <c r="M31" s="6">
        <f>IF(OR(I31="",(B31+C31+D31+E31)=0),"",-(C31+D31)/(B31+C31+D31+E31))</f>
        <v/>
      </c>
    </row>
    <row r="32">
      <c r="A32" s="4" t="n"/>
      <c r="B32" s="4" t="n"/>
      <c r="C32" s="4" t="n"/>
      <c r="D32" s="4" t="n"/>
      <c r="E32" s="4" t="n"/>
      <c r="F32" s="4" t="n"/>
      <c r="G32" s="4" t="n"/>
      <c r="H32" s="5" t="n"/>
      <c r="I32" s="4">
        <f>IF(COUNT(B32:G32)=0,"",SUM(B32:G32))</f>
        <v/>
      </c>
      <c r="J32" s="4">
        <f>IF(I32="","",IF(COUNTIF(B32:G32,MAX(B32:G32))&gt;1,"tie",IF(MAX(B32:G32)=B32,"A · attractive",IF(MAX(B32:G32)=C32,"O · one-dimensional",IF(MAX(B32:G32)=D32,"M · must-be",IF(MAX(B32:G32)=E32,"I · indifferent",IF(MAX(B32:G32)=F32,"R · reverse",IF(MAX(B32:G32)=G32,"Q · questionable",""))))))))</f>
        <v/>
      </c>
      <c r="K32" s="4">
        <f>IF(I32="","",IF(B32+C32+D32&gt;E32+F32+G32,IF(MAX(C32,B32,D32)=C32,"O · one-dimensional",IF(MAX(C32,B32,D32)=B32,"A · attractive",IF(MAX(C32,B32,D32)=D32,"M · must-be",""))),IF(MAX(E32,F32,G32)=E32,"I · indifferent",IF(MAX(E32,F32,G32)=F32,"R · reverse",IF(MAX(E32,F32,G32)=G32,"Q · questionable","")))))</f>
        <v/>
      </c>
      <c r="L32" s="6">
        <f>IF(OR(I32="",(B32+C32+D32+E32)=0),"",(B32+C32)/(B32+C32+D32+E32))</f>
        <v/>
      </c>
      <c r="M32" s="6">
        <f>IF(OR(I32="",(B32+C32+D32+E32)=0),"",-(C32+D32)/(B32+C32+D32+E32))</f>
        <v/>
      </c>
    </row>
    <row r="33">
      <c r="A33" s="4" t="n"/>
      <c r="B33" s="4" t="n"/>
      <c r="C33" s="4" t="n"/>
      <c r="D33" s="4" t="n"/>
      <c r="E33" s="4" t="n"/>
      <c r="F33" s="4" t="n"/>
      <c r="G33" s="4" t="n"/>
      <c r="H33" s="5" t="n"/>
      <c r="I33" s="4">
        <f>IF(COUNT(B33:G33)=0,"",SUM(B33:G33))</f>
        <v/>
      </c>
      <c r="J33" s="4">
        <f>IF(I33="","",IF(COUNTIF(B33:G33,MAX(B33:G33))&gt;1,"tie",IF(MAX(B33:G33)=B33,"A · attractive",IF(MAX(B33:G33)=C33,"O · one-dimensional",IF(MAX(B33:G33)=D33,"M · must-be",IF(MAX(B33:G33)=E33,"I · indifferent",IF(MAX(B33:G33)=F33,"R · reverse",IF(MAX(B33:G33)=G33,"Q · questionable",""))))))))</f>
        <v/>
      </c>
      <c r="K33" s="4">
        <f>IF(I33="","",IF(B33+C33+D33&gt;E33+F33+G33,IF(MAX(C33,B33,D33)=C33,"O · one-dimensional",IF(MAX(C33,B33,D33)=B33,"A · attractive",IF(MAX(C33,B33,D33)=D33,"M · must-be",""))),IF(MAX(E33,F33,G33)=E33,"I · indifferent",IF(MAX(E33,F33,G33)=F33,"R · reverse",IF(MAX(E33,F33,G33)=G33,"Q · questionable","")))))</f>
        <v/>
      </c>
      <c r="L33" s="6">
        <f>IF(OR(I33="",(B33+C33+D33+E33)=0),"",(B33+C33)/(B33+C33+D33+E33))</f>
        <v/>
      </c>
      <c r="M33" s="6">
        <f>IF(OR(I33="",(B33+C33+D33+E33)=0),"",-(C33+D33)/(B33+C33+D33+E33))</f>
        <v/>
      </c>
    </row>
    <row r="34">
      <c r="A34" s="4" t="n"/>
      <c r="B34" s="4" t="n"/>
      <c r="C34" s="4" t="n"/>
      <c r="D34" s="4" t="n"/>
      <c r="E34" s="4" t="n"/>
      <c r="F34" s="4" t="n"/>
      <c r="G34" s="4" t="n"/>
      <c r="H34" s="5" t="n"/>
      <c r="I34" s="4">
        <f>IF(COUNT(B34:G34)=0,"",SUM(B34:G34))</f>
        <v/>
      </c>
      <c r="J34" s="4">
        <f>IF(I34="","",IF(COUNTIF(B34:G34,MAX(B34:G34))&gt;1,"tie",IF(MAX(B34:G34)=B34,"A · attractive",IF(MAX(B34:G34)=C34,"O · one-dimensional",IF(MAX(B34:G34)=D34,"M · must-be",IF(MAX(B34:G34)=E34,"I · indifferent",IF(MAX(B34:G34)=F34,"R · reverse",IF(MAX(B34:G34)=G34,"Q · questionable",""))))))))</f>
        <v/>
      </c>
      <c r="K34" s="4">
        <f>IF(I34="","",IF(B34+C34+D34&gt;E34+F34+G34,IF(MAX(C34,B34,D34)=C34,"O · one-dimensional",IF(MAX(C34,B34,D34)=B34,"A · attractive",IF(MAX(C34,B34,D34)=D34,"M · must-be",""))),IF(MAX(E34,F34,G34)=E34,"I · indifferent",IF(MAX(E34,F34,G34)=F34,"R · reverse",IF(MAX(E34,F34,G34)=G34,"Q · questionable","")))))</f>
        <v/>
      </c>
      <c r="L34" s="6">
        <f>IF(OR(I34="",(B34+C34+D34+E34)=0),"",(B34+C34)/(B34+C34+D34+E34))</f>
        <v/>
      </c>
      <c r="M34" s="6">
        <f>IF(OR(I34="",(B34+C34+D34+E34)=0),"",-(C34+D34)/(B34+C34+D34+E34))</f>
        <v/>
      </c>
    </row>
    <row r="35">
      <c r="A35" s="4" t="n"/>
      <c r="B35" s="4" t="n"/>
      <c r="C35" s="4" t="n"/>
      <c r="D35" s="4" t="n"/>
      <c r="E35" s="4" t="n"/>
      <c r="F35" s="4" t="n"/>
      <c r="G35" s="4" t="n"/>
      <c r="H35" s="5" t="n"/>
      <c r="I35" s="4">
        <f>IF(COUNT(B35:G35)=0,"",SUM(B35:G35))</f>
        <v/>
      </c>
      <c r="J35" s="4">
        <f>IF(I35="","",IF(COUNTIF(B35:G35,MAX(B35:G35))&gt;1,"tie",IF(MAX(B35:G35)=B35,"A · attractive",IF(MAX(B35:G35)=C35,"O · one-dimensional",IF(MAX(B35:G35)=D35,"M · must-be",IF(MAX(B35:G35)=E35,"I · indifferent",IF(MAX(B35:G35)=F35,"R · reverse",IF(MAX(B35:G35)=G35,"Q · questionable",""))))))))</f>
        <v/>
      </c>
      <c r="K35" s="4">
        <f>IF(I35="","",IF(B35+C35+D35&gt;E35+F35+G35,IF(MAX(C35,B35,D35)=C35,"O · one-dimensional",IF(MAX(C35,B35,D35)=B35,"A · attractive",IF(MAX(C35,B35,D35)=D35,"M · must-be",""))),IF(MAX(E35,F35,G35)=E35,"I · indifferent",IF(MAX(E35,F35,G35)=F35,"R · reverse",IF(MAX(E35,F35,G35)=G35,"Q · questionable","")))))</f>
        <v/>
      </c>
      <c r="L35" s="6">
        <f>IF(OR(I35="",(B35+C35+D35+E35)=0),"",(B35+C35)/(B35+C35+D35+E35))</f>
        <v/>
      </c>
      <c r="M35" s="6">
        <f>IF(OR(I35="",(B35+C35+D35+E35)=0),"",-(C35+D35)/(B35+C35+D35+E35))</f>
        <v/>
      </c>
    </row>
    <row r="36">
      <c r="A36" s="4" t="n"/>
      <c r="B36" s="4" t="n"/>
      <c r="C36" s="4" t="n"/>
      <c r="D36" s="4" t="n"/>
      <c r="E36" s="4" t="n"/>
      <c r="F36" s="4" t="n"/>
      <c r="G36" s="4" t="n"/>
      <c r="H36" s="5" t="n"/>
      <c r="I36" s="4">
        <f>IF(COUNT(B36:G36)=0,"",SUM(B36:G36))</f>
        <v/>
      </c>
      <c r="J36" s="4">
        <f>IF(I36="","",IF(COUNTIF(B36:G36,MAX(B36:G36))&gt;1,"tie",IF(MAX(B36:G36)=B36,"A · attractive",IF(MAX(B36:G36)=C36,"O · one-dimensional",IF(MAX(B36:G36)=D36,"M · must-be",IF(MAX(B36:G36)=E36,"I · indifferent",IF(MAX(B36:G36)=F36,"R · reverse",IF(MAX(B36:G36)=G36,"Q · questionable",""))))))))</f>
        <v/>
      </c>
      <c r="K36" s="4">
        <f>IF(I36="","",IF(B36+C36+D36&gt;E36+F36+G36,IF(MAX(C36,B36,D36)=C36,"O · one-dimensional",IF(MAX(C36,B36,D36)=B36,"A · attractive",IF(MAX(C36,B36,D36)=D36,"M · must-be",""))),IF(MAX(E36,F36,G36)=E36,"I · indifferent",IF(MAX(E36,F36,G36)=F36,"R · reverse",IF(MAX(E36,F36,G36)=G36,"Q · questionable","")))))</f>
        <v/>
      </c>
      <c r="L36" s="6">
        <f>IF(OR(I36="",(B36+C36+D36+E36)=0),"",(B36+C36)/(B36+C36+D36+E36))</f>
        <v/>
      </c>
      <c r="M36" s="6">
        <f>IF(OR(I36="",(B36+C36+D36+E36)=0),"",-(C36+D36)/(B36+C36+D36+E36))</f>
        <v/>
      </c>
    </row>
    <row r="37">
      <c r="A37" s="4" t="n"/>
      <c r="B37" s="4" t="n"/>
      <c r="C37" s="4" t="n"/>
      <c r="D37" s="4" t="n"/>
      <c r="E37" s="4" t="n"/>
      <c r="F37" s="4" t="n"/>
      <c r="G37" s="4" t="n"/>
      <c r="H37" s="5" t="n"/>
      <c r="I37" s="4">
        <f>IF(COUNT(B37:G37)=0,"",SUM(B37:G37))</f>
        <v/>
      </c>
      <c r="J37" s="4">
        <f>IF(I37="","",IF(COUNTIF(B37:G37,MAX(B37:G37))&gt;1,"tie",IF(MAX(B37:G37)=B37,"A · attractive",IF(MAX(B37:G37)=C37,"O · one-dimensional",IF(MAX(B37:G37)=D37,"M · must-be",IF(MAX(B37:G37)=E37,"I · indifferent",IF(MAX(B37:G37)=F37,"R · reverse",IF(MAX(B37:G37)=G37,"Q · questionable",""))))))))</f>
        <v/>
      </c>
      <c r="K37" s="4">
        <f>IF(I37="","",IF(B37+C37+D37&gt;E37+F37+G37,IF(MAX(C37,B37,D37)=C37,"O · one-dimensional",IF(MAX(C37,B37,D37)=B37,"A · attractive",IF(MAX(C37,B37,D37)=D37,"M · must-be",""))),IF(MAX(E37,F37,G37)=E37,"I · indifferent",IF(MAX(E37,F37,G37)=F37,"R · reverse",IF(MAX(E37,F37,G37)=G37,"Q · questionable","")))))</f>
        <v/>
      </c>
      <c r="L37" s="6">
        <f>IF(OR(I37="",(B37+C37+D37+E37)=0),"",(B37+C37)/(B37+C37+D37+E37))</f>
        <v/>
      </c>
      <c r="M37" s="6">
        <f>IF(OR(I37="",(B37+C37+D37+E37)=0),"",-(C37+D37)/(B37+C37+D37+E37))</f>
        <v/>
      </c>
    </row>
    <row r="38">
      <c r="A38" s="4" t="n"/>
      <c r="B38" s="4" t="n"/>
      <c r="C38" s="4" t="n"/>
      <c r="D38" s="4" t="n"/>
      <c r="E38" s="4" t="n"/>
      <c r="F38" s="4" t="n"/>
      <c r="G38" s="4" t="n"/>
      <c r="H38" s="5" t="n"/>
      <c r="I38" s="4">
        <f>IF(COUNT(B38:G38)=0,"",SUM(B38:G38))</f>
        <v/>
      </c>
      <c r="J38" s="4">
        <f>IF(I38="","",IF(COUNTIF(B38:G38,MAX(B38:G38))&gt;1,"tie",IF(MAX(B38:G38)=B38,"A · attractive",IF(MAX(B38:G38)=C38,"O · one-dimensional",IF(MAX(B38:G38)=D38,"M · must-be",IF(MAX(B38:G38)=E38,"I · indifferent",IF(MAX(B38:G38)=F38,"R · reverse",IF(MAX(B38:G38)=G38,"Q · questionable",""))))))))</f>
        <v/>
      </c>
      <c r="K38" s="4">
        <f>IF(I38="","",IF(B38+C38+D38&gt;E38+F38+G38,IF(MAX(C38,B38,D38)=C38,"O · one-dimensional",IF(MAX(C38,B38,D38)=B38,"A · attractive",IF(MAX(C38,B38,D38)=D38,"M · must-be",""))),IF(MAX(E38,F38,G38)=E38,"I · indifferent",IF(MAX(E38,F38,G38)=F38,"R · reverse",IF(MAX(E38,F38,G38)=G38,"Q · questionable","")))))</f>
        <v/>
      </c>
      <c r="L38" s="6">
        <f>IF(OR(I38="",(B38+C38+D38+E38)=0),"",(B38+C38)/(B38+C38+D38+E38))</f>
        <v/>
      </c>
      <c r="M38" s="6">
        <f>IF(OR(I38="",(B38+C38+D38+E38)=0),"",-(C38+D38)/(B38+C38+D38+E38))</f>
        <v/>
      </c>
    </row>
    <row r="39">
      <c r="A39" s="4" t="n"/>
      <c r="B39" s="4" t="n"/>
      <c r="C39" s="4" t="n"/>
      <c r="D39" s="4" t="n"/>
      <c r="E39" s="4" t="n"/>
      <c r="F39" s="4" t="n"/>
      <c r="G39" s="4" t="n"/>
      <c r="H39" s="5" t="n"/>
      <c r="I39" s="4">
        <f>IF(COUNT(B39:G39)=0,"",SUM(B39:G39))</f>
        <v/>
      </c>
      <c r="J39" s="4">
        <f>IF(I39="","",IF(COUNTIF(B39:G39,MAX(B39:G39))&gt;1,"tie",IF(MAX(B39:G39)=B39,"A · attractive",IF(MAX(B39:G39)=C39,"O · one-dimensional",IF(MAX(B39:G39)=D39,"M · must-be",IF(MAX(B39:G39)=E39,"I · indifferent",IF(MAX(B39:G39)=F39,"R · reverse",IF(MAX(B39:G39)=G39,"Q · questionable",""))))))))</f>
        <v/>
      </c>
      <c r="K39" s="4">
        <f>IF(I39="","",IF(B39+C39+D39&gt;E39+F39+G39,IF(MAX(C39,B39,D39)=C39,"O · one-dimensional",IF(MAX(C39,B39,D39)=B39,"A · attractive",IF(MAX(C39,B39,D39)=D39,"M · must-be",""))),IF(MAX(E39,F39,G39)=E39,"I · indifferent",IF(MAX(E39,F39,G39)=F39,"R · reverse",IF(MAX(E39,F39,G39)=G39,"Q · questionable","")))))</f>
        <v/>
      </c>
      <c r="L39" s="6">
        <f>IF(OR(I39="",(B39+C39+D39+E39)=0),"",(B39+C39)/(B39+C39+D39+E39))</f>
        <v/>
      </c>
      <c r="M39" s="6">
        <f>IF(OR(I39="",(B39+C39+D39+E39)=0),"",-(C39+D39)/(B39+C39+D39+E39))</f>
        <v/>
      </c>
    </row>
    <row r="40">
      <c r="A40" s="4" t="n"/>
      <c r="B40" s="4" t="n"/>
      <c r="C40" s="4" t="n"/>
      <c r="D40" s="4" t="n"/>
      <c r="E40" s="4" t="n"/>
      <c r="F40" s="4" t="n"/>
      <c r="G40" s="4" t="n"/>
      <c r="H40" s="5" t="n"/>
      <c r="I40" s="4">
        <f>IF(COUNT(B40:G40)=0,"",SUM(B40:G40))</f>
        <v/>
      </c>
      <c r="J40" s="4">
        <f>IF(I40="","",IF(COUNTIF(B40:G40,MAX(B40:G40))&gt;1,"tie",IF(MAX(B40:G40)=B40,"A · attractive",IF(MAX(B40:G40)=C40,"O · one-dimensional",IF(MAX(B40:G40)=D40,"M · must-be",IF(MAX(B40:G40)=E40,"I · indifferent",IF(MAX(B40:G40)=F40,"R · reverse",IF(MAX(B40:G40)=G40,"Q · questionable",""))))))))</f>
        <v/>
      </c>
      <c r="K40" s="4">
        <f>IF(I40="","",IF(B40+C40+D40&gt;E40+F40+G40,IF(MAX(C40,B40,D40)=C40,"O · one-dimensional",IF(MAX(C40,B40,D40)=B40,"A · attractive",IF(MAX(C40,B40,D40)=D40,"M · must-be",""))),IF(MAX(E40,F40,G40)=E40,"I · indifferent",IF(MAX(E40,F40,G40)=F40,"R · reverse",IF(MAX(E40,F40,G40)=G40,"Q · questionable","")))))</f>
        <v/>
      </c>
      <c r="L40" s="6">
        <f>IF(OR(I40="",(B40+C40+D40+E40)=0),"",(B40+C40)/(B40+C40+D40+E40))</f>
        <v/>
      </c>
      <c r="M40" s="6">
        <f>IF(OR(I40="",(B40+C40+D40+E40)=0),"",-(C40+D40)/(B40+C40+D40+E40))</f>
        <v/>
      </c>
    </row>
    <row r="41">
      <c r="A41" s="4" t="n"/>
      <c r="B41" s="4" t="n"/>
      <c r="C41" s="4" t="n"/>
      <c r="D41" s="4" t="n"/>
      <c r="E41" s="4" t="n"/>
      <c r="F41" s="4" t="n"/>
      <c r="G41" s="4" t="n"/>
      <c r="H41" s="5" t="n"/>
      <c r="I41" s="4">
        <f>IF(COUNT(B41:G41)=0,"",SUM(B41:G41))</f>
        <v/>
      </c>
      <c r="J41" s="4">
        <f>IF(I41="","",IF(COUNTIF(B41:G41,MAX(B41:G41))&gt;1,"tie",IF(MAX(B41:G41)=B41,"A · attractive",IF(MAX(B41:G41)=C41,"O · one-dimensional",IF(MAX(B41:G41)=D41,"M · must-be",IF(MAX(B41:G41)=E41,"I · indifferent",IF(MAX(B41:G41)=F41,"R · reverse",IF(MAX(B41:G41)=G41,"Q · questionable",""))))))))</f>
        <v/>
      </c>
      <c r="K41" s="4">
        <f>IF(I41="","",IF(B41+C41+D41&gt;E41+F41+G41,IF(MAX(C41,B41,D41)=C41,"O · one-dimensional",IF(MAX(C41,B41,D41)=B41,"A · attractive",IF(MAX(C41,B41,D41)=D41,"M · must-be",""))),IF(MAX(E41,F41,G41)=E41,"I · indifferent",IF(MAX(E41,F41,G41)=F41,"R · reverse",IF(MAX(E41,F41,G41)=G41,"Q · questionable","")))))</f>
        <v/>
      </c>
      <c r="L41" s="6">
        <f>IF(OR(I41="",(B41+C41+D41+E41)=0),"",(B41+C41)/(B41+C41+D41+E41))</f>
        <v/>
      </c>
      <c r="M41" s="6">
        <f>IF(OR(I41="",(B41+C41+D41+E41)=0),"",-(C41+D41)/(B41+C41+D41+E41))</f>
        <v/>
      </c>
    </row>
    <row r="42">
      <c r="A42" s="4" t="n"/>
      <c r="B42" s="4" t="n"/>
      <c r="C42" s="4" t="n"/>
      <c r="D42" s="4" t="n"/>
      <c r="E42" s="4" t="n"/>
      <c r="F42" s="4" t="n"/>
      <c r="G42" s="4" t="n"/>
      <c r="H42" s="5" t="n"/>
      <c r="I42" s="4">
        <f>IF(COUNT(B42:G42)=0,"",SUM(B42:G42))</f>
        <v/>
      </c>
      <c r="J42" s="4">
        <f>IF(I42="","",IF(COUNTIF(B42:G42,MAX(B42:G42))&gt;1,"tie",IF(MAX(B42:G42)=B42,"A · attractive",IF(MAX(B42:G42)=C42,"O · one-dimensional",IF(MAX(B42:G42)=D42,"M · must-be",IF(MAX(B42:G42)=E42,"I · indifferent",IF(MAX(B42:G42)=F42,"R · reverse",IF(MAX(B42:G42)=G42,"Q · questionable",""))))))))</f>
        <v/>
      </c>
      <c r="K42" s="4">
        <f>IF(I42="","",IF(B42+C42+D42&gt;E42+F42+G42,IF(MAX(C42,B42,D42)=C42,"O · one-dimensional",IF(MAX(C42,B42,D42)=B42,"A · attractive",IF(MAX(C42,B42,D42)=D42,"M · must-be",""))),IF(MAX(E42,F42,G42)=E42,"I · indifferent",IF(MAX(E42,F42,G42)=F42,"R · reverse",IF(MAX(E42,F42,G42)=G42,"Q · questionable","")))))</f>
        <v/>
      </c>
      <c r="L42" s="6">
        <f>IF(OR(I42="",(B42+C42+D42+E42)=0),"",(B42+C42)/(B42+C42+D42+E42))</f>
        <v/>
      </c>
      <c r="M42" s="6">
        <f>IF(OR(I42="",(B42+C42+D42+E42)=0),"",-(C42+D42)/(B42+C42+D42+E42))</f>
        <v/>
      </c>
    </row>
    <row r="43">
      <c r="A43" s="4" t="n"/>
      <c r="B43" s="4" t="n"/>
      <c r="C43" s="4" t="n"/>
      <c r="D43" s="4" t="n"/>
      <c r="E43" s="4" t="n"/>
      <c r="F43" s="4" t="n"/>
      <c r="G43" s="4" t="n"/>
      <c r="H43" s="5" t="n"/>
      <c r="I43" s="4">
        <f>IF(COUNT(B43:G43)=0,"",SUM(B43:G43))</f>
        <v/>
      </c>
      <c r="J43" s="4">
        <f>IF(I43="","",IF(COUNTIF(B43:G43,MAX(B43:G43))&gt;1,"tie",IF(MAX(B43:G43)=B43,"A · attractive",IF(MAX(B43:G43)=C43,"O · one-dimensional",IF(MAX(B43:G43)=D43,"M · must-be",IF(MAX(B43:G43)=E43,"I · indifferent",IF(MAX(B43:G43)=F43,"R · reverse",IF(MAX(B43:G43)=G43,"Q · questionable",""))))))))</f>
        <v/>
      </c>
      <c r="K43" s="4">
        <f>IF(I43="","",IF(B43+C43+D43&gt;E43+F43+G43,IF(MAX(C43,B43,D43)=C43,"O · one-dimensional",IF(MAX(C43,B43,D43)=B43,"A · attractive",IF(MAX(C43,B43,D43)=D43,"M · must-be",""))),IF(MAX(E43,F43,G43)=E43,"I · indifferent",IF(MAX(E43,F43,G43)=F43,"R · reverse",IF(MAX(E43,F43,G43)=G43,"Q · questionable","")))))</f>
        <v/>
      </c>
      <c r="L43" s="6">
        <f>IF(OR(I43="",(B43+C43+D43+E43)=0),"",(B43+C43)/(B43+C43+D43+E43))</f>
        <v/>
      </c>
      <c r="M43" s="6">
        <f>IF(OR(I43="",(B43+C43+D43+E43)=0),"",-(C43+D43)/(B43+C43+D43+E43))</f>
        <v/>
      </c>
    </row>
    <row r="44">
      <c r="A44" s="4" t="n"/>
      <c r="B44" s="4" t="n"/>
      <c r="C44" s="4" t="n"/>
      <c r="D44" s="4" t="n"/>
      <c r="E44" s="4" t="n"/>
      <c r="F44" s="4" t="n"/>
      <c r="G44" s="4" t="n"/>
      <c r="H44" s="5" t="n"/>
      <c r="I44" s="4">
        <f>IF(COUNT(B44:G44)=0,"",SUM(B44:G44))</f>
        <v/>
      </c>
      <c r="J44" s="4">
        <f>IF(I44="","",IF(COUNTIF(B44:G44,MAX(B44:G44))&gt;1,"tie",IF(MAX(B44:G44)=B44,"A · attractive",IF(MAX(B44:G44)=C44,"O · one-dimensional",IF(MAX(B44:G44)=D44,"M · must-be",IF(MAX(B44:G44)=E44,"I · indifferent",IF(MAX(B44:G44)=F44,"R · reverse",IF(MAX(B44:G44)=G44,"Q · questionable",""))))))))</f>
        <v/>
      </c>
      <c r="K44" s="4">
        <f>IF(I44="","",IF(B44+C44+D44&gt;E44+F44+G44,IF(MAX(C44,B44,D44)=C44,"O · one-dimensional",IF(MAX(C44,B44,D44)=B44,"A · attractive",IF(MAX(C44,B44,D44)=D44,"M · must-be",""))),IF(MAX(E44,F44,G44)=E44,"I · indifferent",IF(MAX(E44,F44,G44)=F44,"R · reverse",IF(MAX(E44,F44,G44)=G44,"Q · questionable","")))))</f>
        <v/>
      </c>
      <c r="L44" s="6">
        <f>IF(OR(I44="",(B44+C44+D44+E44)=0),"",(B44+C44)/(B44+C44+D44+E44))</f>
        <v/>
      </c>
      <c r="M44" s="6">
        <f>IF(OR(I44="",(B44+C44+D44+E44)=0),"",-(C44+D44)/(B44+C44+D44+E44))</f>
        <v/>
      </c>
    </row>
    <row r="45">
      <c r="A45" s="4" t="n"/>
      <c r="B45" s="4" t="n"/>
      <c r="C45" s="4" t="n"/>
      <c r="D45" s="4" t="n"/>
      <c r="E45" s="4" t="n"/>
      <c r="F45" s="4" t="n"/>
      <c r="G45" s="4" t="n"/>
      <c r="H45" s="5" t="n"/>
      <c r="I45" s="4">
        <f>IF(COUNT(B45:G45)=0,"",SUM(B45:G45))</f>
        <v/>
      </c>
      <c r="J45" s="4">
        <f>IF(I45="","",IF(COUNTIF(B45:G45,MAX(B45:G45))&gt;1,"tie",IF(MAX(B45:G45)=B45,"A · attractive",IF(MAX(B45:G45)=C45,"O · one-dimensional",IF(MAX(B45:G45)=D45,"M · must-be",IF(MAX(B45:G45)=E45,"I · indifferent",IF(MAX(B45:G45)=F45,"R · reverse",IF(MAX(B45:G45)=G45,"Q · questionable",""))))))))</f>
        <v/>
      </c>
      <c r="K45" s="4">
        <f>IF(I45="","",IF(B45+C45+D45&gt;E45+F45+G45,IF(MAX(C45,B45,D45)=C45,"O · one-dimensional",IF(MAX(C45,B45,D45)=B45,"A · attractive",IF(MAX(C45,B45,D45)=D45,"M · must-be",""))),IF(MAX(E45,F45,G45)=E45,"I · indifferent",IF(MAX(E45,F45,G45)=F45,"R · reverse",IF(MAX(E45,F45,G45)=G45,"Q · questionable","")))))</f>
        <v/>
      </c>
      <c r="L45" s="6">
        <f>IF(OR(I45="",(B45+C45+D45+E45)=0),"",(B45+C45)/(B45+C45+D45+E45))</f>
        <v/>
      </c>
      <c r="M45" s="6">
        <f>IF(OR(I45="",(B45+C45+D45+E45)=0),"",-(C45+D45)/(B45+C45+D45+E45))</f>
        <v/>
      </c>
    </row>
    <row r="46">
      <c r="A46" s="4" t="n"/>
      <c r="B46" s="4" t="n"/>
      <c r="C46" s="4" t="n"/>
      <c r="D46" s="4" t="n"/>
      <c r="E46" s="4" t="n"/>
      <c r="F46" s="4" t="n"/>
      <c r="G46" s="4" t="n"/>
      <c r="H46" s="5" t="n"/>
      <c r="I46" s="4">
        <f>IF(COUNT(B46:G46)=0,"",SUM(B46:G46))</f>
        <v/>
      </c>
      <c r="J46" s="4">
        <f>IF(I46="","",IF(COUNTIF(B46:G46,MAX(B46:G46))&gt;1,"tie",IF(MAX(B46:G46)=B46,"A · attractive",IF(MAX(B46:G46)=C46,"O · one-dimensional",IF(MAX(B46:G46)=D46,"M · must-be",IF(MAX(B46:G46)=E46,"I · indifferent",IF(MAX(B46:G46)=F46,"R · reverse",IF(MAX(B46:G46)=G46,"Q · questionable",""))))))))</f>
        <v/>
      </c>
      <c r="K46" s="4">
        <f>IF(I46="","",IF(B46+C46+D46&gt;E46+F46+G46,IF(MAX(C46,B46,D46)=C46,"O · one-dimensional",IF(MAX(C46,B46,D46)=B46,"A · attractive",IF(MAX(C46,B46,D46)=D46,"M · must-be",""))),IF(MAX(E46,F46,G46)=E46,"I · indifferent",IF(MAX(E46,F46,G46)=F46,"R · reverse",IF(MAX(E46,F46,G46)=G46,"Q · questionable","")))))</f>
        <v/>
      </c>
      <c r="L46" s="6">
        <f>IF(OR(I46="",(B46+C46+D46+E46)=0),"",(B46+C46)/(B46+C46+D46+E46))</f>
        <v/>
      </c>
      <c r="M46" s="6">
        <f>IF(OR(I46="",(B46+C46+D46+E46)=0),"",-(C46+D46)/(B46+C46+D46+E46))</f>
        <v/>
      </c>
    </row>
    <row r="47">
      <c r="A47" s="4" t="n"/>
      <c r="B47" s="4" t="n"/>
      <c r="C47" s="4" t="n"/>
      <c r="D47" s="4" t="n"/>
      <c r="E47" s="4" t="n"/>
      <c r="F47" s="4" t="n"/>
      <c r="G47" s="4" t="n"/>
      <c r="H47" s="5" t="n"/>
      <c r="I47" s="4">
        <f>IF(COUNT(B47:G47)=0,"",SUM(B47:G47))</f>
        <v/>
      </c>
      <c r="J47" s="4">
        <f>IF(I47="","",IF(COUNTIF(B47:G47,MAX(B47:G47))&gt;1,"tie",IF(MAX(B47:G47)=B47,"A · attractive",IF(MAX(B47:G47)=C47,"O · one-dimensional",IF(MAX(B47:G47)=D47,"M · must-be",IF(MAX(B47:G47)=E47,"I · indifferent",IF(MAX(B47:G47)=F47,"R · reverse",IF(MAX(B47:G47)=G47,"Q · questionable",""))))))))</f>
        <v/>
      </c>
      <c r="K47" s="4">
        <f>IF(I47="","",IF(B47+C47+D47&gt;E47+F47+G47,IF(MAX(C47,B47,D47)=C47,"O · one-dimensional",IF(MAX(C47,B47,D47)=B47,"A · attractive",IF(MAX(C47,B47,D47)=D47,"M · must-be",""))),IF(MAX(E47,F47,G47)=E47,"I · indifferent",IF(MAX(E47,F47,G47)=F47,"R · reverse",IF(MAX(E47,F47,G47)=G47,"Q · questionable","")))))</f>
        <v/>
      </c>
      <c r="L47" s="6">
        <f>IF(OR(I47="",(B47+C47+D47+E47)=0),"",(B47+C47)/(B47+C47+D47+E47))</f>
        <v/>
      </c>
      <c r="M47" s="6">
        <f>IF(OR(I47="",(B47+C47+D47+E47)=0),"",-(C47+D47)/(B47+C47+D47+E47))</f>
        <v/>
      </c>
    </row>
    <row r="48">
      <c r="A48" s="4" t="n"/>
      <c r="B48" s="4" t="n"/>
      <c r="C48" s="4" t="n"/>
      <c r="D48" s="4" t="n"/>
      <c r="E48" s="4" t="n"/>
      <c r="F48" s="4" t="n"/>
      <c r="G48" s="4" t="n"/>
      <c r="H48" s="5" t="n"/>
      <c r="I48" s="4">
        <f>IF(COUNT(B48:G48)=0,"",SUM(B48:G48))</f>
        <v/>
      </c>
      <c r="J48" s="4">
        <f>IF(I48="","",IF(COUNTIF(B48:G48,MAX(B48:G48))&gt;1,"tie",IF(MAX(B48:G48)=B48,"A · attractive",IF(MAX(B48:G48)=C48,"O · one-dimensional",IF(MAX(B48:G48)=D48,"M · must-be",IF(MAX(B48:G48)=E48,"I · indifferent",IF(MAX(B48:G48)=F48,"R · reverse",IF(MAX(B48:G48)=G48,"Q · questionable",""))))))))</f>
        <v/>
      </c>
      <c r="K48" s="4">
        <f>IF(I48="","",IF(B48+C48+D48&gt;E48+F48+G48,IF(MAX(C48,B48,D48)=C48,"O · one-dimensional",IF(MAX(C48,B48,D48)=B48,"A · attractive",IF(MAX(C48,B48,D48)=D48,"M · must-be",""))),IF(MAX(E48,F48,G48)=E48,"I · indifferent",IF(MAX(E48,F48,G48)=F48,"R · reverse",IF(MAX(E48,F48,G48)=G48,"Q · questionable","")))))</f>
        <v/>
      </c>
      <c r="L48" s="6">
        <f>IF(OR(I48="",(B48+C48+D48+E48)=0),"",(B48+C48)/(B48+C48+D48+E48))</f>
        <v/>
      </c>
      <c r="M48" s="6">
        <f>IF(OR(I48="",(B48+C48+D48+E48)=0),"",-(C48+D48)/(B48+C48+D48+E48))</f>
        <v/>
      </c>
    </row>
    <row r="49">
      <c r="A49" s="4" t="n"/>
      <c r="B49" s="4" t="n"/>
      <c r="C49" s="4" t="n"/>
      <c r="D49" s="4" t="n"/>
      <c r="E49" s="4" t="n"/>
      <c r="F49" s="4" t="n"/>
      <c r="G49" s="4" t="n"/>
      <c r="H49" s="5" t="n"/>
      <c r="I49" s="4">
        <f>IF(COUNT(B49:G49)=0,"",SUM(B49:G49))</f>
        <v/>
      </c>
      <c r="J49" s="4">
        <f>IF(I49="","",IF(COUNTIF(B49:G49,MAX(B49:G49))&gt;1,"tie",IF(MAX(B49:G49)=B49,"A · attractive",IF(MAX(B49:G49)=C49,"O · one-dimensional",IF(MAX(B49:G49)=D49,"M · must-be",IF(MAX(B49:G49)=E49,"I · indifferent",IF(MAX(B49:G49)=F49,"R · reverse",IF(MAX(B49:G49)=G49,"Q · questionable",""))))))))</f>
        <v/>
      </c>
      <c r="K49" s="4">
        <f>IF(I49="","",IF(B49+C49+D49&gt;E49+F49+G49,IF(MAX(C49,B49,D49)=C49,"O · one-dimensional",IF(MAX(C49,B49,D49)=B49,"A · attractive",IF(MAX(C49,B49,D49)=D49,"M · must-be",""))),IF(MAX(E49,F49,G49)=E49,"I · indifferent",IF(MAX(E49,F49,G49)=F49,"R · reverse",IF(MAX(E49,F49,G49)=G49,"Q · questionable","")))))</f>
        <v/>
      </c>
      <c r="L49" s="6">
        <f>IF(OR(I49="",(B49+C49+D49+E49)=0),"",(B49+C49)/(B49+C49+D49+E49))</f>
        <v/>
      </c>
      <c r="M49" s="6">
        <f>IF(OR(I49="",(B49+C49+D49+E49)=0),"",-(C49+D49)/(B49+C49+D49+E49))</f>
        <v/>
      </c>
    </row>
    <row r="50">
      <c r="A50" s="4" t="n"/>
      <c r="B50" s="4" t="n"/>
      <c r="C50" s="4" t="n"/>
      <c r="D50" s="4" t="n"/>
      <c r="E50" s="4" t="n"/>
      <c r="F50" s="4" t="n"/>
      <c r="G50" s="4" t="n"/>
      <c r="H50" s="5" t="n"/>
      <c r="I50" s="4">
        <f>IF(COUNT(B50:G50)=0,"",SUM(B50:G50))</f>
        <v/>
      </c>
      <c r="J50" s="4">
        <f>IF(I50="","",IF(COUNTIF(B50:G50,MAX(B50:G50))&gt;1,"tie",IF(MAX(B50:G50)=B50,"A · attractive",IF(MAX(B50:G50)=C50,"O · one-dimensional",IF(MAX(B50:G50)=D50,"M · must-be",IF(MAX(B50:G50)=E50,"I · indifferent",IF(MAX(B50:G50)=F50,"R · reverse",IF(MAX(B50:G50)=G50,"Q · questionable",""))))))))</f>
        <v/>
      </c>
      <c r="K50" s="4">
        <f>IF(I50="","",IF(B50+C50+D50&gt;E50+F50+G50,IF(MAX(C50,B50,D50)=C50,"O · one-dimensional",IF(MAX(C50,B50,D50)=B50,"A · attractive",IF(MAX(C50,B50,D50)=D50,"M · must-be",""))),IF(MAX(E50,F50,G50)=E50,"I · indifferent",IF(MAX(E50,F50,G50)=F50,"R · reverse",IF(MAX(E50,F50,G50)=G50,"Q · questionable","")))))</f>
        <v/>
      </c>
      <c r="L50" s="6">
        <f>IF(OR(I50="",(B50+C50+D50+E50)=0),"",(B50+C50)/(B50+C50+D50+E50))</f>
        <v/>
      </c>
      <c r="M50" s="6">
        <f>IF(OR(I50="",(B50+C50+D50+E50)=0),"",-(C50+D50)/(B50+C50+D50+E50))</f>
        <v/>
      </c>
    </row>
    <row r="51">
      <c r="A51" s="4" t="n"/>
      <c r="B51" s="4" t="n"/>
      <c r="C51" s="4" t="n"/>
      <c r="D51" s="4" t="n"/>
      <c r="E51" s="4" t="n"/>
      <c r="F51" s="4" t="n"/>
      <c r="G51" s="4" t="n"/>
      <c r="H51" s="5" t="n"/>
      <c r="I51" s="4">
        <f>IF(COUNT(B51:G51)=0,"",SUM(B51:G51))</f>
        <v/>
      </c>
      <c r="J51" s="4">
        <f>IF(I51="","",IF(COUNTIF(B51:G51,MAX(B51:G51))&gt;1,"tie",IF(MAX(B51:G51)=B51,"A · attractive",IF(MAX(B51:G51)=C51,"O · one-dimensional",IF(MAX(B51:G51)=D51,"M · must-be",IF(MAX(B51:G51)=E51,"I · indifferent",IF(MAX(B51:G51)=F51,"R · reverse",IF(MAX(B51:G51)=G51,"Q · questionable",""))))))))</f>
        <v/>
      </c>
      <c r="K51" s="4">
        <f>IF(I51="","",IF(B51+C51+D51&gt;E51+F51+G51,IF(MAX(C51,B51,D51)=C51,"O · one-dimensional",IF(MAX(C51,B51,D51)=B51,"A · attractive",IF(MAX(C51,B51,D51)=D51,"M · must-be",""))),IF(MAX(E51,F51,G51)=E51,"I · indifferent",IF(MAX(E51,F51,G51)=F51,"R · reverse",IF(MAX(E51,F51,G51)=G51,"Q · questionable","")))))</f>
        <v/>
      </c>
      <c r="L51" s="6">
        <f>IF(OR(I51="",(B51+C51+D51+E51)=0),"",(B51+C51)/(B51+C51+D51+E51))</f>
        <v/>
      </c>
      <c r="M51" s="6">
        <f>IF(OR(I51="",(B51+C51+D51+E51)=0),"",-(C51+D51)/(B51+C51+D51+E51))</f>
        <v/>
      </c>
    </row>
    <row r="52">
      <c r="A52" s="4" t="n"/>
      <c r="B52" s="4" t="n"/>
      <c r="C52" s="4" t="n"/>
      <c r="D52" s="4" t="n"/>
      <c r="E52" s="4" t="n"/>
      <c r="F52" s="4" t="n"/>
      <c r="G52" s="4" t="n"/>
      <c r="H52" s="5" t="n"/>
      <c r="I52" s="4">
        <f>IF(COUNT(B52:G52)=0,"",SUM(B52:G52))</f>
        <v/>
      </c>
      <c r="J52" s="4">
        <f>IF(I52="","",IF(COUNTIF(B52:G52,MAX(B52:G52))&gt;1,"tie",IF(MAX(B52:G52)=B52,"A · attractive",IF(MAX(B52:G52)=C52,"O · one-dimensional",IF(MAX(B52:G52)=D52,"M · must-be",IF(MAX(B52:G52)=E52,"I · indifferent",IF(MAX(B52:G52)=F52,"R · reverse",IF(MAX(B52:G52)=G52,"Q · questionable",""))))))))</f>
        <v/>
      </c>
      <c r="K52" s="4">
        <f>IF(I52="","",IF(B52+C52+D52&gt;E52+F52+G52,IF(MAX(C52,B52,D52)=C52,"O · one-dimensional",IF(MAX(C52,B52,D52)=B52,"A · attractive",IF(MAX(C52,B52,D52)=D52,"M · must-be",""))),IF(MAX(E52,F52,G52)=E52,"I · indifferent",IF(MAX(E52,F52,G52)=F52,"R · reverse",IF(MAX(E52,F52,G52)=G52,"Q · questionable","")))))</f>
        <v/>
      </c>
      <c r="L52" s="6">
        <f>IF(OR(I52="",(B52+C52+D52+E52)=0),"",(B52+C52)/(B52+C52+D52+E52))</f>
        <v/>
      </c>
      <c r="M52" s="6">
        <f>IF(OR(I52="",(B52+C52+D52+E52)=0),"",-(C52+D52)/(B52+C52+D52+E52))</f>
        <v/>
      </c>
    </row>
    <row r="53">
      <c r="A53" s="4" t="n"/>
      <c r="B53" s="4" t="n"/>
      <c r="C53" s="4" t="n"/>
      <c r="D53" s="4" t="n"/>
      <c r="E53" s="4" t="n"/>
      <c r="F53" s="4" t="n"/>
      <c r="G53" s="4" t="n"/>
      <c r="H53" s="5" t="n"/>
      <c r="I53" s="4">
        <f>IF(COUNT(B53:G53)=0,"",SUM(B53:G53))</f>
        <v/>
      </c>
      <c r="J53" s="4">
        <f>IF(I53="","",IF(COUNTIF(B53:G53,MAX(B53:G53))&gt;1,"tie",IF(MAX(B53:G53)=B53,"A · attractive",IF(MAX(B53:G53)=C53,"O · one-dimensional",IF(MAX(B53:G53)=D53,"M · must-be",IF(MAX(B53:G53)=E53,"I · indifferent",IF(MAX(B53:G53)=F53,"R · reverse",IF(MAX(B53:G53)=G53,"Q · questionable",""))))))))</f>
        <v/>
      </c>
      <c r="K53" s="4">
        <f>IF(I53="","",IF(B53+C53+D53&gt;E53+F53+G53,IF(MAX(C53,B53,D53)=C53,"O · one-dimensional",IF(MAX(C53,B53,D53)=B53,"A · attractive",IF(MAX(C53,B53,D53)=D53,"M · must-be",""))),IF(MAX(E53,F53,G53)=E53,"I · indifferent",IF(MAX(E53,F53,G53)=F53,"R · reverse",IF(MAX(E53,F53,G53)=G53,"Q · questionable","")))))</f>
        <v/>
      </c>
      <c r="L53" s="6">
        <f>IF(OR(I53="",(B53+C53+D53+E53)=0),"",(B53+C53)/(B53+C53+D53+E53))</f>
        <v/>
      </c>
      <c r="M53" s="6">
        <f>IF(OR(I53="",(B53+C53+D53+E53)=0),"",-(C53+D53)/(B53+C53+D53+E53))</f>
        <v/>
      </c>
    </row>
  </sheetData>
  <mergeCells count="2">
    <mergeCell ref="A2:M2"/>
    <mergeCell ref="A1:M1"/>
  </mergeCells>
  <conditionalFormatting sqref="J4:J53">
    <cfRule type="expression" priority="1" dxfId="0">
      <formula>J4="tie"</formula>
    </cfRule>
  </conditionalFormatting>
  <dataValidations count="1">
    <dataValidation sqref="B4:G53" showDropDown="0" showInputMessage="0" showErrorMessage="1" allowBlank="1" error="The number of respondents must be a whole number, at least 0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7" t="inlineStr">
        <is>
          <t>Kano evaluation table: answer to the functional question × answer to the dysfunctional question</t>
        </is>
      </c>
    </row>
    <row r="2">
      <c r="A2" s="8" t="inlineStr">
        <is>
          <t>Functional: "If the product has X, how would you feel about it?" Dysfunctional: "If the product does not have X, how would you feel about it?"</t>
        </is>
      </c>
    </row>
    <row r="4" ht="32" customHeight="1">
      <c r="A4" s="9" t="inlineStr">
        <is>
          <t>X present ↓ / X absent →</t>
        </is>
      </c>
      <c r="B4" s="10" t="inlineStr">
        <is>
          <t>I like it</t>
        </is>
      </c>
      <c r="C4" s="10" t="inlineStr">
        <is>
          <t>I expect it</t>
        </is>
      </c>
      <c r="D4" s="10" t="inlineStr">
        <is>
          <t>I am neutral</t>
        </is>
      </c>
      <c r="E4" s="10" t="inlineStr">
        <is>
          <t>I can tolerate it</t>
        </is>
      </c>
      <c r="F4" s="10" t="inlineStr">
        <is>
          <t>I dislike it</t>
        </is>
      </c>
    </row>
    <row r="5">
      <c r="A5" s="11" t="inlineStr">
        <is>
          <t>I like it</t>
        </is>
      </c>
      <c r="B5" s="12" t="inlineStr">
        <is>
          <t>Q</t>
        </is>
      </c>
      <c r="C5" s="12" t="inlineStr">
        <is>
          <t>A</t>
        </is>
      </c>
      <c r="D5" s="12" t="inlineStr">
        <is>
          <t>A</t>
        </is>
      </c>
      <c r="E5" s="12" t="inlineStr">
        <is>
          <t>A</t>
        </is>
      </c>
      <c r="F5" s="12" t="inlineStr">
        <is>
          <t>O</t>
        </is>
      </c>
    </row>
    <row r="6">
      <c r="A6" s="11" t="inlineStr">
        <is>
          <t>I expect it</t>
        </is>
      </c>
      <c r="B6" s="12" t="inlineStr">
        <is>
          <t>R</t>
        </is>
      </c>
      <c r="C6" s="12" t="inlineStr">
        <is>
          <t>I</t>
        </is>
      </c>
      <c r="D6" s="12" t="inlineStr">
        <is>
          <t>I</t>
        </is>
      </c>
      <c r="E6" s="12" t="inlineStr">
        <is>
          <t>I</t>
        </is>
      </c>
      <c r="F6" s="12" t="inlineStr">
        <is>
          <t>M</t>
        </is>
      </c>
    </row>
    <row r="7">
      <c r="A7" s="11" t="inlineStr">
        <is>
          <t>I am neutral</t>
        </is>
      </c>
      <c r="B7" s="12" t="inlineStr">
        <is>
          <t>R</t>
        </is>
      </c>
      <c r="C7" s="12" t="inlineStr">
        <is>
          <t>I</t>
        </is>
      </c>
      <c r="D7" s="12" t="inlineStr">
        <is>
          <t>I</t>
        </is>
      </c>
      <c r="E7" s="12" t="inlineStr">
        <is>
          <t>I</t>
        </is>
      </c>
      <c r="F7" s="12" t="inlineStr">
        <is>
          <t>M</t>
        </is>
      </c>
    </row>
    <row r="8">
      <c r="A8" s="11" t="inlineStr">
        <is>
          <t>I can tolerate it</t>
        </is>
      </c>
      <c r="B8" s="12" t="inlineStr">
        <is>
          <t>R</t>
        </is>
      </c>
      <c r="C8" s="12" t="inlineStr">
        <is>
          <t>I</t>
        </is>
      </c>
      <c r="D8" s="12" t="inlineStr">
        <is>
          <t>I</t>
        </is>
      </c>
      <c r="E8" s="12" t="inlineStr">
        <is>
          <t>I</t>
        </is>
      </c>
      <c r="F8" s="12" t="inlineStr">
        <is>
          <t>M</t>
        </is>
      </c>
    </row>
    <row r="9">
      <c r="A9" s="11" t="inlineStr">
        <is>
          <t>I dislike it</t>
        </is>
      </c>
      <c r="B9" s="12" t="inlineStr">
        <is>
          <t>R</t>
        </is>
      </c>
      <c r="C9" s="12" t="inlineStr">
        <is>
          <t>R</t>
        </is>
      </c>
      <c r="D9" s="12" t="inlineStr">
        <is>
          <t>R</t>
        </is>
      </c>
      <c r="E9" s="12" t="inlineStr">
        <is>
          <t>R</t>
        </is>
      </c>
      <c r="F9" s="12" t="inlineStr">
        <is>
          <t>Q</t>
        </is>
      </c>
    </row>
    <row r="11">
      <c r="A11" s="4" t="inlineStr">
        <is>
          <t>A · attractive</t>
        </is>
      </c>
    </row>
    <row r="12">
      <c r="A12" s="4" t="inlineStr">
        <is>
          <t>O · one-dimensional</t>
        </is>
      </c>
    </row>
    <row r="13">
      <c r="A13" s="4" t="inlineStr">
        <is>
          <t>M · must-be</t>
        </is>
      </c>
    </row>
    <row r="14">
      <c r="A14" s="4" t="inlineStr">
        <is>
          <t>I · indifferent</t>
        </is>
      </c>
    </row>
    <row r="15">
      <c r="A15" s="4" t="inlineStr">
        <is>
          <t>R · reverse</t>
        </is>
      </c>
    </row>
    <row r="16">
      <c r="A16" s="4" t="inlineStr">
        <is>
          <t>Q · questionable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2026-10-22T07:03:28Z</dcterms:created>
  <dcterms:modified xmlns:dcterms="http://purl.org/dc/terms/" xmlns:xsi="http://www.w3.org/2001/XMLSchema-instance" xsi:type="dcterms:W3CDTF">2026-10-22T07:03:28Z</dcterms:modified>
</cp:coreProperties>
</file>