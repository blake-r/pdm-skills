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ncial model" sheetId="1" state="visible" r:id="rId1"/>
  </sheets>
  <definedNames>
    <definedName name="data_start">'Financial model'!$D$8</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4"/>
    </font>
    <font>
      <name val="Arial"/>
      <color rgb="006B7280"/>
      <sz val="11"/>
    </font>
    <font>
      <name val="Arial"/>
      <sz val="11"/>
    </font>
    <font>
      <name val="Arial"/>
      <b val="1"/>
      <sz val="11"/>
    </font>
  </fonts>
  <fills count="5">
    <fill>
      <patternFill/>
    </fill>
    <fill>
      <patternFill patternType="gray125"/>
    </fill>
    <fill>
      <patternFill patternType="solid">
        <fgColor rgb="00E8F0FC"/>
      </patternFill>
    </fill>
    <fill>
      <patternFill patternType="solid">
        <fgColor rgb="00FFF7E0"/>
      </patternFill>
    </fill>
    <fill>
      <patternFill patternType="solid">
        <fgColor rgb="00F3F4F6"/>
      </patternFill>
    </fill>
  </fills>
  <borders count="2">
    <border>
      <left/>
      <right/>
      <top/>
      <bottom/>
      <diagonal/>
    </border>
    <border>
      <bottom style="thin">
        <color rgb="00C9CED6"/>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1" applyAlignment="1" pivotButton="0" quotePrefix="0" xfId="0">
      <alignment vertical="center" wrapText="1"/>
    </xf>
    <xf numFmtId="3" fontId="3" fillId="3" borderId="0" applyAlignment="1" pivotButton="0" quotePrefix="0" xfId="0">
      <alignment vertical="top"/>
    </xf>
    <xf numFmtId="4" fontId="3" fillId="3" borderId="0" applyAlignment="1" pivotButton="0" quotePrefix="0" xfId="0">
      <alignment vertical="top"/>
    </xf>
    <xf numFmtId="164" fontId="3" fillId="3" borderId="0" applyAlignment="1" pivotButton="0" quotePrefix="0" xfId="0">
      <alignment vertical="top"/>
    </xf>
    <xf numFmtId="2" fontId="3" fillId="3" borderId="0" applyAlignment="1" pivotButton="0" quotePrefix="0" xfId="0">
      <alignment vertical="top"/>
    </xf>
    <xf numFmtId="0" fontId="4" fillId="2" borderId="0" pivotButton="0" quotePrefix="0" xfId="0"/>
    <xf numFmtId="0" fontId="0" fillId="2" borderId="0" pivotButton="0" quotePrefix="0" xfId="0"/>
    <xf numFmtId="0" fontId="2" fillId="0" borderId="0" applyAlignment="1" pivotButton="0" quotePrefix="0" xfId="0">
      <alignment vertical="top" wrapText="1"/>
    </xf>
    <xf numFmtId="4" fontId="3" fillId="4" borderId="0" applyAlignment="1" pivotButton="0" quotePrefix="0" xfId="0">
      <alignment vertical="top" wrapText="1"/>
    </xf>
    <xf numFmtId="2" fontId="3" fillId="4" borderId="0" applyAlignment="1" pivotButton="0" quotePrefix="0" xfId="0">
      <alignment vertical="top" wrapText="1"/>
    </xf>
    <xf numFmtId="3" fontId="3" fillId="4"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0" borderId="0" pivotButton="0" quotePrefix="0" xfId="0"/>
    <xf numFmtId="9" fontId="3" fillId="3" borderId="0" pivotButton="0" quotePrefix="0" xfId="0"/>
    <xf numFmtId="0" fontId="4" fillId="2" borderId="0" applyAlignment="1" pivotButton="0" quotePrefix="0" xfId="0">
      <alignment vertical="center"/>
    </xf>
    <xf numFmtId="0" fontId="4" fillId="2" borderId="0" applyAlignment="1" pivotButton="0" quotePrefix="0" xfId="0">
      <alignment vertical="center" wrapText="1"/>
    </xf>
    <xf numFmtId="4" fontId="3" fillId="4" borderId="0" applyAlignment="1" pivotButton="0" quotePrefix="0" xfId="0">
      <alignment vertical="top"/>
    </xf>
    <xf numFmtId="1" fontId="3" fillId="4"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pdm-skills</author>
  </authors>
  <commentList>
    <comment ref="A7" authorId="0" shapeId="0">
      <text>
        <t>Metric group by PAF (Product Architecture Framework): product creation, acquisition, sales, logistics, retention, upsell, support. A hint on which cost lines not to forget.</t>
      </text>
    </comment>
    <comment ref="B7" authorId="0" shapeId="0">
      <text>
        <t>Model metric. You fill rows 8–14; the Calculation block and sensitivity are computed automatically.</t>
      </text>
    </comment>
    <comment ref="C7" authorId="0" shapeId="0">
      <text>
        <t>What the metric is measured in.</t>
      </text>
    </comment>
    <comment ref="D7" authorId="0" shapeId="0">
      <text>
        <t>Scenario with assumptions worse than expected. One scenario is one set of assumptions for all rows.</t>
      </text>
    </comment>
    <comment ref="E7" authorId="0" shapeId="0">
      <text>
        <t>Expected scenario. The sensitivity below is computed from it.</t>
      </text>
    </comment>
    <comment ref="F7" authorId="0" shapeId="0">
      <text>
        <t>Scenario with assumptions better than expected.</t>
      </text>
    </comment>
    <comment ref="G7" authorId="0" shapeId="0">
      <text>
        <t>Where the number comes from: fact (source, date), estimate, company goal or hypothesis. A model without experimental data remains an a priori hypothesis; this must be visible in the basis.</t>
      </text>
    </comment>
    <comment ref="B8" authorId="0" shapeId="0">
      <text>
        <t>How many growth units per period: customers, orders, stores. From a budget: budget ÷ cost of a lead × conversion to a customer.</t>
      </text>
    </comment>
    <comment ref="B9" authorId="0" shapeId="0">
      <text>
        <t>Average check × number of orders per unit per period, excluding VAT and after returns.</t>
      </text>
    </comment>
    <comment ref="B10" authorId="0" shapeId="0">
      <text>
        <t>Share of revenue spent per unit: cost of goods, delivery, payment fees, returns, support. Enter 0.65 or 65%.</t>
      </text>
    </comment>
    <comment ref="B11" authorId="0" shapeId="0">
      <text>
        <t>Cost of acquiring a customer or investment in opening one unit. Advertising plus salaries and acquisition tools, not only the ad budget.</t>
      </text>
    </comment>
    <comment ref="B12" authorId="0" shapeId="0">
      <text>
        <t>Costs independent of volume: development, servers, staff, office.</t>
      </text>
    </comment>
    <comment ref="B13" authorId="0" shapeId="0">
      <text>
        <t>Net profit over the allowed payback term (row below) at which the hypothesis counts as confirmed. Set it before looking at results. Empty if there is no profit criterion. Requires the allowed term.</t>
      </text>
    </comment>
    <comment ref="B14" authorId="0" shapeId="0">
      <text>
        <t>In how many periods a unit must repay its launch cost; it is also the horizon of net profit. The period is the same as in the table. Convert months to periods: 20 months ÷ 12 ≈ 1.67 years. Empty if there is no criterion.</t>
      </text>
    </comment>
    <comment ref="B17" authorId="0" shapeId="0">
      <text>
        <t>Volume × revenue per unit.</t>
      </text>
    </comment>
    <comment ref="B18" authorId="0" shapeId="0">
      <text>
        <t>Revenue per unit minus variable costs: how much a unit leaves per period.</t>
      </text>
    </comment>
    <comment ref="B19" authorId="0" shapeId="0">
      <text>
        <t>One-off launch cost ÷ contribution of a unit per period.</t>
      </text>
    </comment>
    <comment ref="B20" authorId="0" shapeId="0">
      <text>
        <t>Volume × contribution of a unit − fixed costs. Launch cost is not included here: it is accounted for in the payback term and in net profit over the term.</t>
      </text>
    </comment>
    <comment ref="B21" authorId="0" shapeId="0">
      <text>
        <t>Allowed term × profit of a period − volume × launch cost. The horizon is the same for payback and for profit, so the criteria are consistent.</t>
      </text>
    </comment>
    <comment ref="B22" authorId="0" shapeId="0">
      <text>
        <t>Fixed costs ÷ contribution of a unit: how many units cover the fixed costs of the period once launch has paid back.</t>
      </text>
    </comment>
    <comment ref="B23" authorId="0" shapeId="0">
      <text>
        <t>Inverse problem: allowed term × contribution of a unit. Above this amount a unit will not pay back in time.</t>
      </text>
    </comment>
    <comment ref="B24" authorId="0" shapeId="0">
      <text>
        <t>Inverse problem: allowed term × contribution of a unit − (allowed term × fixed costs + target profit) ÷ volume. Above this amount the target profit over the term is not reached.</t>
      </text>
    </comment>
    <comment ref="B25" authorId="0" shapeId="0">
      <text>
        <t>The smaller of the two limits: the launch cost assumption must fit within both. There are many solutions; you choose the boundary conditions.</t>
      </text>
    </comment>
    <comment ref="B26" authorId="0" shapeId="0">
      <text>
        <t>Limit of launch cost minus the assumption. A negative margin means the assumption does not fit the criteria.</t>
      </text>
    </comment>
    <comment ref="B27" authorId="0" shapeId="0">
      <text>
        <t>Comparison of the payback term with the criterion.</t>
      </text>
    </comment>
    <comment ref="B28" authorId="0" shapeId="0">
      <text>
        <t>Comparison of net profit over the payback term with the target.</t>
      </text>
    </comment>
    <comment ref="B29" authorId="0" shapeId="0">
      <text>
        <t>A signal, not a decision: "does not add up" means change the assumptions or the criterion, "adds up on paper" means facts are needed. A model without experimental data is an a priori hypothesis: "adds up" means "worth testing in the real world". If only one criterion is set, the verdict is marked.</t>
      </text>
    </comment>
    <comment ref="B32" authorId="0" shapeId="0">
      <text>
        <t>By how many percent each assumption is shifted up and down. 10% is the starting value; focus on the assumptions you know least.</t>
      </text>
    </comment>
    <comment ref="F33" authorId="0" shapeId="0">
      <text>
        <t>Absolute difference in net profit over the payback term between "+shift" and "−shift". The larger it is, the more the assumption affects the outcome.</t>
      </text>
    </comment>
    <comment ref="G33" authorId="0" shapeId="0">
      <text>
        <t>Rank 1 is the most influential assumption. With equal swing the rank may be shared.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40"/>
  <sheetViews>
    <sheetView workbookViewId="0">
      <pane ySplit="7" topLeftCell="A8" activePane="bottomLeft" state="frozen"/>
      <selection pane="bottomLeft" activeCell="A1" sqref="A1"/>
    </sheetView>
  </sheetViews>
  <sheetFormatPr baseColWidth="8" defaultRowHeight="15"/>
  <cols>
    <col width="42" customWidth="1" min="1" max="1"/>
    <col width="56" customWidth="1" min="2" max="2"/>
    <col width="14" customWidth="1" min="3" max="3"/>
    <col width="27" customWidth="1" min="4" max="4"/>
    <col width="27" customWidth="1" min="5" max="5"/>
    <col width="27" customWidth="1" min="6" max="6"/>
    <col width="62" customWidth="1" min="7" max="7"/>
  </cols>
  <sheetData>
    <row r="1">
      <c r="A1" s="1" t="inlineStr">
        <is>
          <t>Financial Modeling: {{title: business, product or channel, date of calculation}}</t>
        </is>
      </c>
    </row>
    <row r="2" ht="46" customHeight="1">
      <c r="A2" s="2" t="inlineStr">
        <is>
          <t>Hypothesis:</t>
        </is>
      </c>
      <c r="C2" s="3" t="inlineStr">
        <is>
          <t>{{hypothesis: business-model hypothesis and its conditions}}</t>
        </is>
      </c>
    </row>
    <row r="3" ht="32" customHeight="1">
      <c r="A3" s="2" t="inlineStr">
        <is>
          <t>Task:</t>
        </is>
      </c>
      <c r="C3" s="3" t="inlineStr">
        <is>
          <t>{{task: forward or inverse; boundary conditions}}</t>
        </is>
      </c>
    </row>
    <row r="4" ht="32" customHeight="1">
      <c r="A4" s="2" t="inlineStr">
        <is>
          <t>Unit and period:</t>
        </is>
      </c>
      <c r="C4" s="3" t="inlineStr">
        <is>
          <t>{{unit_period: unit, period, and data source}}</t>
        </is>
      </c>
    </row>
    <row r="5" ht="46" customHeight="1">
      <c r="A5" s="2" t="inlineStr">
        <is>
          <t>Decision:</t>
        </is>
      </c>
      <c r="C5" s="3" t="inlineStr">
        <is>
          <t>{{decision: result of the calculation, and its check}}</t>
        </is>
      </c>
    </row>
    <row r="7" ht="32" customHeight="1">
      <c r="A7" s="4" t="inlineStr">
        <is>
          <t>Metric group</t>
        </is>
      </c>
      <c r="B7" s="4" t="inlineStr">
        <is>
          <t>Metric</t>
        </is>
      </c>
      <c r="C7" s="4" t="inlineStr">
        <is>
          <t>Unit</t>
        </is>
      </c>
      <c r="D7" s="4" t="inlineStr">
        <is>
          <t>Pessimistic</t>
        </is>
      </c>
      <c r="E7" s="4" t="inlineStr">
        <is>
          <t>Base</t>
        </is>
      </c>
      <c r="F7" s="4" t="inlineStr">
        <is>
          <t>Optimistic</t>
        </is>
      </c>
      <c r="G7" s="4" t="inlineStr">
        <is>
          <t>Basis</t>
        </is>
      </c>
    </row>
    <row r="8">
      <c r="A8" s="3" t="inlineStr">
        <is>
          <t>Sales and acquisition</t>
        </is>
      </c>
      <c r="B8" s="3" t="inlineStr">
        <is>
          <t>Volume: units per period</t>
        </is>
      </c>
      <c r="C8" s="3" t="inlineStr">
        <is>
          <t>pcs</t>
        </is>
      </c>
      <c r="D8" s="5" t="n"/>
      <c r="E8" s="5" t="n"/>
      <c r="F8" s="5" t="n"/>
      <c r="G8" s="3" t="n"/>
    </row>
    <row r="9">
      <c r="A9" s="3" t="inlineStr">
        <is>
          <t>Sales</t>
        </is>
      </c>
      <c r="B9" s="3" t="inlineStr">
        <is>
          <t>Revenue per unit per period</t>
        </is>
      </c>
      <c r="C9" s="3" t="inlineStr">
        <is>
          <t>currency units</t>
        </is>
      </c>
      <c r="D9" s="6" t="n"/>
      <c r="E9" s="6" t="n"/>
      <c r="F9" s="6" t="n"/>
      <c r="G9" s="3" t="n"/>
    </row>
    <row r="10">
      <c r="A10" s="3" t="inlineStr">
        <is>
          <t>Creation, logistics, support</t>
        </is>
      </c>
      <c r="B10" s="3" t="inlineStr">
        <is>
          <t>Variable costs, share of revenue</t>
        </is>
      </c>
      <c r="C10" s="3" t="inlineStr">
        <is>
          <t>share 0–1</t>
        </is>
      </c>
      <c r="D10" s="7" t="n"/>
      <c r="E10" s="7" t="n"/>
      <c r="F10" s="7" t="n"/>
      <c r="G10" s="3" t="n"/>
    </row>
    <row r="11">
      <c r="A11" s="3" t="inlineStr">
        <is>
          <t>Acquisition</t>
        </is>
      </c>
      <c r="B11" s="3" t="inlineStr">
        <is>
          <t>One-off launch cost per unit</t>
        </is>
      </c>
      <c r="C11" s="3" t="inlineStr">
        <is>
          <t>currency units</t>
        </is>
      </c>
      <c r="D11" s="6" t="n"/>
      <c r="E11" s="6" t="n"/>
      <c r="F11" s="6" t="n"/>
      <c r="G11" s="3" t="n"/>
    </row>
    <row r="12">
      <c r="A12" s="3" t="inlineStr">
        <is>
          <t>Product creation</t>
        </is>
      </c>
      <c r="B12" s="3" t="inlineStr">
        <is>
          <t>Fixed costs of the period</t>
        </is>
      </c>
      <c r="C12" s="3" t="inlineStr">
        <is>
          <t>currency units</t>
        </is>
      </c>
      <c r="D12" s="6" t="n"/>
      <c r="E12" s="6" t="n"/>
      <c r="F12" s="6" t="n"/>
      <c r="G12" s="3" t="n"/>
    </row>
    <row r="13">
      <c r="A13" s="3" t="inlineStr">
        <is>
          <t>Criterion</t>
        </is>
      </c>
      <c r="B13" s="3" t="inlineStr">
        <is>
          <t>Target net profit over the payback term</t>
        </is>
      </c>
      <c r="C13" s="3" t="inlineStr">
        <is>
          <t>currency units</t>
        </is>
      </c>
      <c r="D13" s="6" t="n"/>
      <c r="E13" s="6" t="n"/>
      <c r="F13" s="6" t="n"/>
      <c r="G13" s="3" t="n"/>
    </row>
    <row r="14">
      <c r="A14" s="3" t="inlineStr">
        <is>
          <t>Criterion</t>
        </is>
      </c>
      <c r="B14" s="3" t="inlineStr">
        <is>
          <t>Allowed payback term, periods</t>
        </is>
      </c>
      <c r="C14" s="3" t="inlineStr">
        <is>
          <t>periods</t>
        </is>
      </c>
      <c r="D14" s="8" t="n"/>
      <c r="E14" s="8" t="n"/>
      <c r="F14" s="8" t="n"/>
      <c r="G14" s="3" t="n"/>
    </row>
    <row r="16">
      <c r="A16" s="9" t="inlineStr">
        <is>
          <t>Calculation (formulas)</t>
        </is>
      </c>
      <c r="B16" s="10" t="n"/>
      <c r="C16" s="10" t="n"/>
      <c r="D16" s="9" t="inlineStr">
        <is>
          <t>Pessimistic</t>
        </is>
      </c>
      <c r="E16" s="9" t="inlineStr">
        <is>
          <t>Base</t>
        </is>
      </c>
      <c r="F16" s="9" t="inlineStr">
        <is>
          <t>Optimistic</t>
        </is>
      </c>
      <c r="G16" s="10" t="n"/>
    </row>
    <row r="17">
      <c r="B17" s="3" t="inlineStr">
        <is>
          <t>Revenue</t>
        </is>
      </c>
      <c r="C17" s="11" t="inlineStr">
        <is>
          <t>currency units</t>
        </is>
      </c>
      <c r="D17" s="12">
        <f>IF(AND(ISNUMBER(D8),ISNUMBER(D9)),D8*D9,"")</f>
        <v/>
      </c>
      <c r="E17" s="12">
        <f>IF(AND(ISNUMBER(E8),ISNUMBER(E9)),E8*E9,"")</f>
        <v/>
      </c>
      <c r="F17" s="12">
        <f>IF(AND(ISNUMBER(F8),ISNUMBER(F9)),F8*F9,"")</f>
        <v/>
      </c>
    </row>
    <row r="18">
      <c r="B18" s="3" t="inlineStr">
        <is>
          <t>Contribution of a unit per period</t>
        </is>
      </c>
      <c r="C18" s="11" t="inlineStr">
        <is>
          <t>currency units</t>
        </is>
      </c>
      <c r="D18" s="12">
        <f>IF(AND(ISNUMBER(D9),ISNUMBER(D10)),ROUND(D9*(1-D10),6),"")</f>
        <v/>
      </c>
      <c r="E18" s="12">
        <f>IF(AND(ISNUMBER(E9),ISNUMBER(E10)),ROUND(E9*(1-E10),6),"")</f>
        <v/>
      </c>
      <c r="F18" s="12">
        <f>IF(AND(ISNUMBER(F9),ISNUMBER(F10)),ROUND(F9*(1-F10),6),"")</f>
        <v/>
      </c>
    </row>
    <row r="19">
      <c r="B19" s="3" t="inlineStr">
        <is>
          <t>Payback of a unit, periods</t>
        </is>
      </c>
      <c r="C19" s="11" t="inlineStr">
        <is>
          <t>periods</t>
        </is>
      </c>
      <c r="D19" s="13">
        <f>IF(AND(ISNUMBER(D11),ISNUMBER(D18)),IF(D18&gt;0,D11/D18,"does not pay back"),"")</f>
        <v/>
      </c>
      <c r="E19" s="13">
        <f>IF(AND(ISNUMBER(E11),ISNUMBER(E18)),IF(E18&gt;0,E11/E18,"does not pay back"),"")</f>
        <v/>
      </c>
      <c r="F19" s="13">
        <f>IF(AND(ISNUMBER(F11),ISNUMBER(F18)),IF(F18&gt;0,F11/F18,"does not pay back"),"")</f>
        <v/>
      </c>
    </row>
    <row r="20" ht="32" customHeight="1">
      <c r="B20" s="3" t="inlineStr">
        <is>
          <t>Profit of a period after launch has paid back</t>
        </is>
      </c>
      <c r="C20" s="11" t="inlineStr">
        <is>
          <t>currency units</t>
        </is>
      </c>
      <c r="D20" s="12">
        <f>IF(AND(ISNUMBER(D8),ISNUMBER(D18),ISNUMBER(D12)),D8*D18-D12,"")</f>
        <v/>
      </c>
      <c r="E20" s="12">
        <f>IF(AND(ISNUMBER(E8),ISNUMBER(E18),ISNUMBER(E12)),E8*E18-E12,"")</f>
        <v/>
      </c>
      <c r="F20" s="12">
        <f>IF(AND(ISNUMBER(F8),ISNUMBER(F18),ISNUMBER(F12)),F8*F18-F12,"")</f>
        <v/>
      </c>
    </row>
    <row r="21">
      <c r="B21" s="3" t="inlineStr">
        <is>
          <t>Net profit over the payback term</t>
        </is>
      </c>
      <c r="C21" s="11" t="inlineStr">
        <is>
          <t>currency units</t>
        </is>
      </c>
      <c r="D21" s="12">
        <f>IF(AND(ISNUMBER(D20),ISNUMBER(D14),ISNUMBER(D8),ISNUMBER(D11)),D14*D20-D8*D11,"")</f>
        <v/>
      </c>
      <c r="E21" s="12">
        <f>IF(AND(ISNUMBER(E20),ISNUMBER(E14),ISNUMBER(E8),ISNUMBER(E11)),E14*E20-E8*E11,"")</f>
        <v/>
      </c>
      <c r="F21" s="12">
        <f>IF(AND(ISNUMBER(F20),ISNUMBER(F14),ISNUMBER(F8),ISNUMBER(F11)),F14*F20-F8*F11,"")</f>
        <v/>
      </c>
    </row>
    <row r="22">
      <c r="B22" s="3" t="inlineStr">
        <is>
          <t>Break-even, units</t>
        </is>
      </c>
      <c r="C22" s="11" t="inlineStr">
        <is>
          <t>pcs</t>
        </is>
      </c>
      <c r="D22" s="14">
        <f>IF(AND(ISNUMBER(D12),ISNUMBER(D18)),IF(D18&gt;0,D12/D18,"not reached"),"")</f>
        <v/>
      </c>
      <c r="E22" s="14">
        <f>IF(AND(ISNUMBER(E12),ISNUMBER(E18)),IF(E18&gt;0,E12/E18,"not reached"),"")</f>
        <v/>
      </c>
      <c r="F22" s="14">
        <f>IF(AND(ISNUMBER(F12),ISNUMBER(F18)),IF(F18&gt;0,F12/F18,"not reached"),"")</f>
        <v/>
      </c>
    </row>
    <row r="23">
      <c r="B23" s="3" t="inlineStr">
        <is>
          <t>Limit of launch cost by payback</t>
        </is>
      </c>
      <c r="C23" s="11" t="inlineStr">
        <is>
          <t>currency units</t>
        </is>
      </c>
      <c r="D23" s="12">
        <f>IF(AND(ISNUMBER(D14),ISNUMBER(D18)),D14*D18,"")</f>
        <v/>
      </c>
      <c r="E23" s="12">
        <f>IF(AND(ISNUMBER(E14),ISNUMBER(E18)),E14*E18,"")</f>
        <v/>
      </c>
      <c r="F23" s="12">
        <f>IF(AND(ISNUMBER(F14),ISNUMBER(F18)),F14*F18,"")</f>
        <v/>
      </c>
    </row>
    <row r="24">
      <c r="B24" s="3" t="inlineStr">
        <is>
          <t>Limit of launch cost by target profit</t>
        </is>
      </c>
      <c r="C24" s="11" t="inlineStr">
        <is>
          <t>currency units</t>
        </is>
      </c>
      <c r="D24" s="12">
        <f>IF(AND(ISNUMBER(D8),ISNUMBER(D12),ISNUMBER(D13),ISNUMBER(D14),ISNUMBER(D18)),IF(D8&gt;0,D14*D18-(D14*D12+D13)/D8,""),"")</f>
        <v/>
      </c>
      <c r="E24" s="12">
        <f>IF(AND(ISNUMBER(E8),ISNUMBER(E12),ISNUMBER(E13),ISNUMBER(E14),ISNUMBER(E18)),IF(E8&gt;0,E14*E18-(E14*E12+E13)/E8,""),"")</f>
        <v/>
      </c>
      <c r="F24" s="12">
        <f>IF(AND(ISNUMBER(F8),ISNUMBER(F12),ISNUMBER(F13),ISNUMBER(F14),ISNUMBER(F18)),IF(F8&gt;0,F14*F18-(F14*F12+F13)/F8,""),"")</f>
        <v/>
      </c>
    </row>
    <row r="25">
      <c r="B25" s="3" t="inlineStr">
        <is>
          <t>Limit of launch cost per unit</t>
        </is>
      </c>
      <c r="C25" s="11" t="inlineStr">
        <is>
          <t>currency units</t>
        </is>
      </c>
      <c r="D25" s="12">
        <f>IF(COUNT(D23:D24)=0,"",MIN(D23:D24))</f>
        <v/>
      </c>
      <c r="E25" s="12">
        <f>IF(COUNT(E23:E24)=0,"",MIN(E23:E24))</f>
        <v/>
      </c>
      <c r="F25" s="12">
        <f>IF(COUNT(F23:F24)=0,"",MIN(F23:F24))</f>
        <v/>
      </c>
    </row>
    <row r="26">
      <c r="B26" s="3" t="inlineStr">
        <is>
          <t>Margin to the launch cost limit</t>
        </is>
      </c>
      <c r="C26" s="11" t="inlineStr">
        <is>
          <t>currency units</t>
        </is>
      </c>
      <c r="D26" s="12">
        <f>IF(AND(ISNUMBER(D25),ISNUMBER(D11)),D25-D11,"")</f>
        <v/>
      </c>
      <c r="E26" s="12">
        <f>IF(AND(ISNUMBER(E25),ISNUMBER(E11)),E25-E11,"")</f>
        <v/>
      </c>
      <c r="F26" s="12">
        <f>IF(AND(ISNUMBER(F25),ISNUMBER(F11)),F25-F11,"")</f>
        <v/>
      </c>
    </row>
    <row r="27">
      <c r="B27" s="3" t="inlineStr">
        <is>
          <t>Payback within the criterion</t>
        </is>
      </c>
      <c r="C27" s="11" t="inlineStr">
        <is>
          <t>yes / no</t>
        </is>
      </c>
      <c r="D27" s="15">
        <f>IF(AND(ISNUMBER(D14),ISNUMBER(D19)),IF(D19&lt;=D14,"yes","no"),IF(AND(ISNUMBER(D14),D19="does not pay back"),"no",""))</f>
        <v/>
      </c>
      <c r="E27" s="15">
        <f>IF(AND(ISNUMBER(E14),ISNUMBER(E19)),IF(E19&lt;=E14,"yes","no"),IF(AND(ISNUMBER(E14),E19="does not pay back"),"no",""))</f>
        <v/>
      </c>
      <c r="F27" s="15">
        <f>IF(AND(ISNUMBER(F14),ISNUMBER(F19)),IF(F19&lt;=F14,"yes","no"),IF(AND(ISNUMBER(F14),F19="does not pay back"),"no",""))</f>
        <v/>
      </c>
    </row>
    <row r="28" ht="32" customHeight="1">
      <c r="B28" s="3" t="inlineStr">
        <is>
          <t>Net profit over the term not below target</t>
        </is>
      </c>
      <c r="C28" s="11" t="inlineStr">
        <is>
          <t>yes / no</t>
        </is>
      </c>
      <c r="D28" s="15">
        <f>IF(AND(ISNUMBER(D13),ISNUMBER(D21)),IF(D21&gt;=D13,"yes","no"),"")</f>
        <v/>
      </c>
      <c r="E28" s="15">
        <f>IF(AND(ISNUMBER(E13),ISNUMBER(E21)),IF(E21&gt;=E13,"yes","no"),"")</f>
        <v/>
      </c>
      <c r="F28" s="15">
        <f>IF(AND(ISNUMBER(F13),ISNUMBER(F21)),IF(F21&gt;=F13,"yes","no"),"")</f>
        <v/>
      </c>
    </row>
    <row r="29" ht="62" customHeight="1">
      <c r="B29" s="3" t="inlineStr">
        <is>
          <t>Verdict</t>
        </is>
      </c>
      <c r="C29" s="11" t="inlineStr"/>
      <c r="D29" s="16">
        <f>IF(AND(D27="",D28=""),"no data for the criteria",IF(OR(D27="no",D28="no"),"does not add up","adds up on paper")&amp;IF(OR(D27="",D28="")," (one criterion)",""))</f>
        <v/>
      </c>
      <c r="E29" s="16">
        <f>IF(AND(E27="",E28=""),"no data for the criteria",IF(OR(E27="no",E28="no"),"does not add up","adds up on paper")&amp;IF(OR(E27="",E28="")," (one criterion)",""))</f>
        <v/>
      </c>
      <c r="F29" s="16">
        <f>IF(AND(F27="",F28=""),"no data for the criteria",IF(OR(F27="no",F28="no"),"does not add up","adds up on paper")&amp;IF(OR(F27="",F28="")," (one criterion)",""))</f>
        <v/>
      </c>
    </row>
    <row r="31">
      <c r="A31" s="9" t="inlineStr">
        <is>
          <t>Sensitivity of the base scenario</t>
        </is>
      </c>
      <c r="B31" s="10" t="n"/>
      <c r="C31" s="10" t="n"/>
      <c r="D31" s="10" t="n"/>
      <c r="E31" s="10" t="n"/>
      <c r="F31" s="10" t="n"/>
      <c r="G31" s="10" t="n"/>
    </row>
    <row r="32">
      <c r="B32" s="17" t="inlineStr">
        <is>
          <t>Assumption shift, ± share</t>
        </is>
      </c>
      <c r="E32" s="18" t="n">
        <v>0.1</v>
      </c>
    </row>
    <row r="33" ht="48" customHeight="1">
      <c r="B33" s="19" t="inlineStr">
        <is>
          <t>Assumption</t>
        </is>
      </c>
      <c r="D33" s="20" t="inlineStr">
        <is>
          <t>Profit at −shift</t>
        </is>
      </c>
      <c r="E33" s="20" t="inlineStr">
        <is>
          <t>Profit at +shift</t>
        </is>
      </c>
      <c r="F33" s="20" t="inlineStr">
        <is>
          <t>Swing</t>
        </is>
      </c>
      <c r="G33" s="20" t="inlineStr">
        <is>
          <t>Impact rank</t>
        </is>
      </c>
    </row>
    <row r="34">
      <c r="B34" s="17" t="inlineStr">
        <is>
          <t>Volume</t>
        </is>
      </c>
      <c r="D34" s="21">
        <f>IF(AND(COUNT($E$8:$E$12)=5,ISNUMBER($E$14),ISNUMBER($E$32)),$E$14*($E$8*(1-$E$32)*$E$9*(1-$E$10)-$E$12)-$E$8*(1-$E$32)*$E$11,"")</f>
        <v/>
      </c>
      <c r="E34" s="21">
        <f>IF(AND(COUNT($E$8:$E$12)=5,ISNUMBER($E$14),ISNUMBER($E$32)),$E$14*($E$8*(1+$E$32)*$E$9*(1-$E$10)-$E$12)-$E$8*(1+$E$32)*$E$11,"")</f>
        <v/>
      </c>
      <c r="F34" s="21">
        <f>IF(AND(ISNUMBER(D34),ISNUMBER(E34)),ABS(E34-D34),"")</f>
        <v/>
      </c>
      <c r="G34" s="22">
        <f>IF(ISNUMBER(F34),RANK(F34,$F$34:$F$38),"")</f>
        <v/>
      </c>
    </row>
    <row r="35">
      <c r="B35" s="17" t="inlineStr">
        <is>
          <t>Revenue per unit</t>
        </is>
      </c>
      <c r="D35" s="21">
        <f>IF(AND(COUNT($E$8:$E$12)=5,ISNUMBER($E$14),ISNUMBER($E$32)),$E$14*($E$8*$E$9*(1-$E$32)*(1-$E$10)-$E$12)-$E$8*$E$11,"")</f>
        <v/>
      </c>
      <c r="E35" s="21">
        <f>IF(AND(COUNT($E$8:$E$12)=5,ISNUMBER($E$14),ISNUMBER($E$32)),$E$14*($E$8*$E$9*(1+$E$32)*(1-$E$10)-$E$12)-$E$8*$E$11,"")</f>
        <v/>
      </c>
      <c r="F35" s="21">
        <f>IF(AND(ISNUMBER(D35),ISNUMBER(E35)),ABS(E35-D35),"")</f>
        <v/>
      </c>
      <c r="G35" s="22">
        <f>IF(ISNUMBER(F35),RANK(F35,$F$34:$F$38),"")</f>
        <v/>
      </c>
    </row>
    <row r="36">
      <c r="B36" s="17" t="inlineStr">
        <is>
          <t>Variable costs, share</t>
        </is>
      </c>
      <c r="D36" s="21">
        <f>IF(AND(COUNT($E$8:$E$12)=5,ISNUMBER($E$14),ISNUMBER($E$32)),$E$14*($E$8*$E$9*(1-$E$10*(1-$E$32))-$E$12)-$E$8*$E$11,"")</f>
        <v/>
      </c>
      <c r="E36" s="21">
        <f>IF(AND(COUNT($E$8:$E$12)=5,ISNUMBER($E$14),ISNUMBER($E$32)),$E$14*($E$8*$E$9*(1-$E$10*(1+$E$32))-$E$12)-$E$8*$E$11,"")</f>
        <v/>
      </c>
      <c r="F36" s="21">
        <f>IF(AND(ISNUMBER(D36),ISNUMBER(E36)),ABS(E36-D36),"")</f>
        <v/>
      </c>
      <c r="G36" s="22">
        <f>IF(ISNUMBER(F36),RANK(F36,$F$34:$F$38),"")</f>
        <v/>
      </c>
    </row>
    <row r="37">
      <c r="B37" s="17" t="inlineStr">
        <is>
          <t>Launch cost per unit</t>
        </is>
      </c>
      <c r="D37" s="21">
        <f>IF(AND(COUNT($E$8:$E$12)=5,ISNUMBER($E$14),ISNUMBER($E$32)),$E$14*($E$8*$E$9*(1-$E$10)-$E$12)-$E$8*$E$11*(1-$E$32),"")</f>
        <v/>
      </c>
      <c r="E37" s="21">
        <f>IF(AND(COUNT($E$8:$E$12)=5,ISNUMBER($E$14),ISNUMBER($E$32)),$E$14*($E$8*$E$9*(1-$E$10)-$E$12)-$E$8*$E$11*(1+$E$32),"")</f>
        <v/>
      </c>
      <c r="F37" s="21">
        <f>IF(AND(ISNUMBER(D37),ISNUMBER(E37)),ABS(E37-D37),"")</f>
        <v/>
      </c>
      <c r="G37" s="22">
        <f>IF(ISNUMBER(F37),RANK(F37,$F$34:$F$38),"")</f>
        <v/>
      </c>
    </row>
    <row r="38">
      <c r="B38" s="17" t="inlineStr">
        <is>
          <t>Fixed costs</t>
        </is>
      </c>
      <c r="D38" s="21">
        <f>IF(AND(COUNT($E$8:$E$12)=5,ISNUMBER($E$14),ISNUMBER($E$32)),$E$14*($E$8*$E$9*(1-$E$10)-$E$12*(1-$E$32))-$E$8*$E$11,"")</f>
        <v/>
      </c>
      <c r="E38" s="21">
        <f>IF(AND(COUNT($E$8:$E$12)=5,ISNUMBER($E$14),ISNUMBER($E$32)),$E$14*($E$8*$E$9*(1-$E$10)-$E$12*(1+$E$32))-$E$8*$E$11,"")</f>
        <v/>
      </c>
      <c r="F38" s="21">
        <f>IF(AND(ISNUMBER(D38),ISNUMBER(E38)),ABS(E38-D38),"")</f>
        <v/>
      </c>
      <c r="G38" s="22">
        <f>IF(ISNUMBER(F38),RANK(F38,$F$34:$F$38),"")</f>
        <v/>
      </c>
    </row>
    <row r="40">
      <c r="B40" s="23" t="n"/>
    </row>
  </sheetData>
  <mergeCells count="5">
    <mergeCell ref="C4:G4"/>
    <mergeCell ref="A1:G1"/>
    <mergeCell ref="C2:G2"/>
    <mergeCell ref="C5:G5"/>
    <mergeCell ref="C3:G3"/>
  </mergeCells>
  <dataValidations count="2">
    <dataValidation sqref="D10:F10" showDropDown="0" showInputMessage="0" showErrorMessage="1" allowBlank="1" error="Share from 0 to 1: enter 0.65 or 65%." type="decimal" errorStyle="warning" operator="between">
      <formula1>0</formula1>
      <formula2>1</formula2>
    </dataValidation>
    <dataValidation sqref="D8:F9 D11:F14" showDropDown="0" showInputMessage="0" showErrorMessage="1" allowBlank="1" error="A number not less than zero is required." type="decimal" errorStyle="warning" operator="greaterThanOrEqual">
      <formula1>0</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2026-10-22T07:11:53Z</dcterms:created>
  <dcterms:modified xmlns:dcterms="http://purl.org/dc/terms/" xmlns:xsi="http://www.w3.org/2001/XMLSchema-instance" xsi:type="dcterms:W3CDTF">2026-10-22T07:11:53Z</dcterms:modified>
</cp:coreProperties>
</file>