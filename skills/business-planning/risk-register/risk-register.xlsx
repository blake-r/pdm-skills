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sk register" sheetId="1" state="visible" r:id="rId1"/>
  </sheets>
  <definedNames>
    <definedName name="data_start">'Risk register'!$A$6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color rgb="006B7280"/>
      <sz val="11"/>
    </font>
    <font>
      <name val="Arial"/>
      <b val="1"/>
      <sz val="11"/>
    </font>
    <font>
      <name val="Arial"/>
      <sz val="11"/>
    </font>
  </fonts>
  <fills count="5">
    <fill>
      <patternFill/>
    </fill>
    <fill>
      <patternFill patternType="gray125"/>
    </fill>
    <fill>
      <patternFill patternType="solid">
        <fgColor rgb="00E8F0FC"/>
      </patternFill>
    </fill>
    <fill>
      <patternFill patternType="solid">
        <fgColor rgb="00F3F4F6"/>
      </patternFill>
    </fill>
    <fill>
      <patternFill patternType="solid">
        <fgColor rgb="00FFF8E1"/>
      </patternFill>
    </fill>
  </fills>
  <borders count="2">
    <border>
      <left/>
      <right/>
      <top/>
      <bottom/>
      <diagonal/>
    </border>
    <border>
      <bottom style="thin">
        <color rgb="00C9CED6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2" borderId="0" pivotButton="0" quotePrefix="0" xfId="0"/>
    <xf numFmtId="0" fontId="4" fillId="0" borderId="0" applyAlignment="1" pivotButton="0" quotePrefix="0" xfId="0">
      <alignment vertical="top" wrapText="1"/>
    </xf>
    <xf numFmtId="0" fontId="4" fillId="0" borderId="0" applyAlignment="1" pivotButton="0" quotePrefix="0" xfId="0">
      <alignment horizontal="center" vertical="top"/>
    </xf>
    <xf numFmtId="164" fontId="4" fillId="0" borderId="0" applyAlignment="1" pivotButton="0" quotePrefix="0" xfId="0">
      <alignment vertical="top" wrapText="1"/>
    </xf>
    <xf numFmtId="0" fontId="3" fillId="3" borderId="0" applyAlignment="1" pivotButton="0" quotePrefix="0" xfId="0">
      <alignment horizontal="center" vertical="top"/>
    </xf>
    <xf numFmtId="0" fontId="4" fillId="3" borderId="0" applyAlignment="1" pivotButton="0" quotePrefix="0" xfId="0">
      <alignment horizontal="center" vertical="top"/>
    </xf>
    <xf numFmtId="0" fontId="4" fillId="0" borderId="0" pivotButton="0" quotePrefix="0" xfId="0"/>
    <xf numFmtId="0" fontId="3" fillId="4" borderId="0" applyAlignment="1" pivotButton="0" quotePrefix="0" xfId="0">
      <alignment horizontal="center"/>
    </xf>
    <xf numFmtId="0" fontId="3" fillId="3" borderId="0" applyAlignment="1" pivotButton="0" quotePrefix="0" xfId="0">
      <alignment horizontal="center"/>
    </xf>
  </cellXfs>
  <cellStyles count="1">
    <cellStyle name="Normal" xfId="0" builtinId="0" hidden="0"/>
  </cellStyles>
  <dxfs count="4">
    <dxf>
      <font>
        <b val="1"/>
        <color rgb="00C63D3D"/>
      </font>
      <fill>
        <patternFill patternType="solid">
          <bgColor rgb="00FBEAEA"/>
        </patternFill>
      </fill>
    </dxf>
    <dxf>
      <font>
        <b val="1"/>
        <color rgb="008A6100"/>
      </font>
      <fill>
        <patternFill patternType="solid">
          <bgColor rgb="00FFF4D6"/>
        </patternFill>
      </fill>
    </dxf>
    <dxf>
      <font>
        <b val="1"/>
        <color rgb="002E8B57"/>
      </font>
      <fill>
        <patternFill patternType="solid">
          <bgColor rgb="00E8F5EC"/>
        </patternFill>
      </fill>
    </dxf>
    <dxf>
      <font>
        <b val="1"/>
        <color rgb="00C63D3D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pdm-skills</author>
  </authors>
  <commentList>
    <comment ref="A5" authorId="0" shapeId="0">
      <text>
        <t>Risk identifier: a short code that does not change, for example R-01. Used to refer to the risk in meetings and reports.</t>
      </text>
    </comment>
    <comment ref="B5" authorId="0" shapeId="0">
      <text>
        <t>The risk as one event that could happen, in common phrasing so rows compare: what could happen to which asset or objective. Not "supplier issues" but "main payment provider is unavailable for more than a day".</t>
      </text>
    </comment>
    <comment ref="C5" authorId="0" shapeId="0">
      <text>
        <t>What makes the event possible: the threat, weakness or condition behind it.</t>
      </text>
    </comment>
    <comment ref="D5" authorId="0" shapeId="0">
      <text>
        <t>What happens to the objective if the event occurs: money, customers, schedule, compliance, reputation.</t>
      </text>
    </comment>
    <comment ref="E5" authorId="0" shapeId="0">
      <text>
        <t>Theme for grouping rows and comparing registers, for example operational, financial, legal, technology, market.</t>
      </text>
    </comment>
    <comment ref="F5" authorId="0" shapeId="0">
      <text>
        <t>One named person accountable for keeping this risk within agreed limits. A group or "team" is not an owner.</t>
      </text>
    </comment>
    <comment ref="G5" authorId="0" shapeId="0">
      <text>
        <t>How likely the event is now, with existing controls: 1 rare, 2 unlikely, 3 possible, 4 likely, 5 almost certain. Write the meaning of each level down before scoring.</t>
      </text>
    </comment>
    <comment ref="H5" authorId="0" shapeId="0">
      <text>
        <t>How severe the effect is now, with existing controls: 1 minor to 5 severe. Define each level in money, customers or delay before scoring.</t>
      </text>
    </comment>
    <comment ref="I5" authorId="0" shapeId="0">
      <text>
        <t>Accept (monitor only, within tolerance), transfer (share the consequences, for example insurance), mitigate (reduce likelihood or impact), avoid (do not take the action). For opportunities: realize, share, enhance, accept.</t>
      </text>
    </comment>
    <comment ref="J5" authorId="0" shapeId="0">
      <text>
        <t>What will be done, by whom and by when. For accept, write what is monitored and the trigger to revisit.</t>
      </text>
    </comment>
    <comment ref="K5" authorId="0" shapeId="0">
      <text>
        <t>Open, In progress (response under way) or Closed (risk ended or the response is complete and the risk is back within limits).</t>
      </text>
    </comment>
    <comment ref="L5" authorId="0" shapeId="0">
      <text>
        <t>Date the risk was first entered in the register.</t>
      </text>
    </comment>
    <comment ref="M5" authorId="0" shapeId="0">
      <text>
        <t>Date of the last reassessment of likelihood and impact.</t>
      </text>
    </comment>
    <comment ref="N5" authorId="0" shapeId="0">
      <text>
        <t>Date by which the risk must be reviewed again. Rows past this date are flagged.</t>
      </text>
    </comment>
    <comment ref="O5" authorId="0" shapeId="0">
      <text>
        <t>Calculated: likelihood x impact. An ordinal number for ranking, not a probability or a loss.</t>
      </text>
    </comment>
    <comment ref="P5" authorId="0" shapeId="0">
      <text>
        <t>Calculated: High at or above the High-from score, Medium at or above the Medium-from score, otherwise Low. Bands are set in the summary.</t>
      </text>
    </comment>
    <comment ref="Q5" authorId="0" shapeId="0">
      <text>
        <t>Calculated: 1 is the highest score among open risks; equal scores share a rank. Closed risks are not ranked.</t>
      </text>
    </comment>
    <comment ref="R5" authorId="0" shapeId="0">
      <text>
        <t>Calculated: Overdue when the next review date is before today and the risk is not closed.</t>
      </text>
    </comment>
    <comment ref="T6" authorId="0" shapeId="0">
      <text>
        <t>Score at or above this value is rated High. Set it with your scale and risk appetite; 15 suits a 5 x 5 grid.</t>
      </text>
    </comment>
    <comment ref="T7" authorId="0" shapeId="0">
      <text>
        <t>Score at or above this value, and below High, is rated Medium; lower is Low.</t>
      </text>
    </comment>
    <comment ref="T8" authorId="0" shapeId="0">
      <text>
        <t>Rows with a risk statement.</t>
      </text>
    </comment>
    <comment ref="T9" authorId="0" shapeId="0">
      <text>
        <t>Risks rated High that are not closed.</t>
      </text>
    </comment>
    <comment ref="T10" authorId="0" shapeId="0">
      <text>
        <t>Risks rated Medium that are not closed.</t>
      </text>
    </comment>
    <comment ref="T11" authorId="0" shapeId="0">
      <text>
        <t>Risks rated Low that are not closed.</t>
      </text>
    </comment>
    <comment ref="T12" authorId="0" shapeId="0">
      <text>
        <t>Risks with status Closed.</t>
      </text>
    </comment>
    <comment ref="T13" authorId="0" shapeId="0">
      <text>
        <t>Open risks whose next review date has passed.</t>
      </text>
    </comment>
    <comment ref="T14" authorId="0" shapeId="0">
      <text>
        <t>Must be 0: a risk without an owner is nobody's.</t>
      </text>
    </comment>
    <comment ref="T15" authorId="0" shapeId="0">
      <text>
        <t>Risks with an empty Response column.</t>
      </text>
    </comment>
    <comment ref="T16" authorId="0" shapeId="0">
      <text>
        <t>The largest score in the register.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5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0" customWidth="1" min="2" max="2"/>
    <col width="34" customWidth="1" min="3" max="3"/>
    <col width="34" customWidth="1" min="4" max="4"/>
    <col width="18" customWidth="1" min="5" max="5"/>
    <col width="20" customWidth="1" min="6" max="6"/>
    <col width="12" customWidth="1" min="7" max="7"/>
    <col width="12" customWidth="1" min="8" max="8"/>
    <col width="14" customWidth="1" min="9" max="9"/>
    <col width="44" customWidth="1" min="10" max="10"/>
    <col width="13" customWidth="1" min="11" max="11"/>
    <col width="12" customWidth="1" min="12" max="12"/>
    <col width="12" customWidth="1" min="13" max="13"/>
    <col width="12" customWidth="1" min="14" max="14"/>
    <col width="9" customWidth="1" min="15" max="15"/>
    <col width="10" customWidth="1" min="16" max="16"/>
    <col width="11" customWidth="1" min="17" max="17"/>
    <col width="11" customWidth="1" min="18" max="18"/>
    <col width="3" customWidth="1" min="19" max="19"/>
    <col width="30" customWidth="1" min="20" max="20"/>
    <col width="12" customWidth="1" min="21" max="21"/>
  </cols>
  <sheetData>
    <row r="1">
      <c r="A1" s="1" t="inlineStr">
        <is>
          <t>Risk Register: {{title: what the register covers, organization or product, and the date}}</t>
        </is>
      </c>
    </row>
    <row r="2" ht="32" customHeight="1">
      <c r="A2" s="2" t="inlineStr">
        <is>
          <t>Scope:</t>
        </is>
      </c>
      <c r="C2" s="3" t="inlineStr">
        <is>
          <t>{{scope: the objective or project whose risks are listed, and who reviews the register}}</t>
        </is>
      </c>
    </row>
    <row r="3" ht="32" customHeight="1">
      <c r="A3" s="2" t="inlineStr">
        <is>
          <t>Decision:</t>
        </is>
      </c>
      <c r="C3" s="3" t="inlineStr">
        <is>
          <t>{{decision: what the review decided about the top risks: response, escalation or acceptance}}</t>
        </is>
      </c>
    </row>
    <row r="5" ht="48" customHeight="1">
      <c r="A5" s="4" t="inlineStr">
        <is>
          <t>ID</t>
        </is>
      </c>
      <c r="B5" s="4" t="inlineStr">
        <is>
          <t>Risk statement</t>
        </is>
      </c>
      <c r="C5" s="4" t="inlineStr">
        <is>
          <t>Cause</t>
        </is>
      </c>
      <c r="D5" s="4" t="inlineStr">
        <is>
          <t>Effect</t>
        </is>
      </c>
      <c r="E5" s="4" t="inlineStr">
        <is>
          <t>Category</t>
        </is>
      </c>
      <c r="F5" s="4" t="inlineStr">
        <is>
          <t>Owner</t>
        </is>
      </c>
      <c r="G5" s="5" t="inlineStr">
        <is>
          <t>Likelihood
(1-5)</t>
        </is>
      </c>
      <c r="H5" s="5" t="inlineStr">
        <is>
          <t>Impact
(1-5)</t>
        </is>
      </c>
      <c r="I5" s="4" t="inlineStr">
        <is>
          <t>Response type</t>
        </is>
      </c>
      <c r="J5" s="4" t="inlineStr">
        <is>
          <t>Response</t>
        </is>
      </c>
      <c r="K5" s="4" t="inlineStr">
        <is>
          <t>Status</t>
        </is>
      </c>
      <c r="L5" s="4" t="inlineStr">
        <is>
          <t>Date raised</t>
        </is>
      </c>
      <c r="M5" s="4" t="inlineStr">
        <is>
          <t>Last reviewed</t>
        </is>
      </c>
      <c r="N5" s="4" t="inlineStr">
        <is>
          <t>Next review</t>
        </is>
      </c>
      <c r="O5" s="5" t="inlineStr">
        <is>
          <t>Score</t>
        </is>
      </c>
      <c r="P5" s="5" t="inlineStr">
        <is>
          <t>Rating</t>
        </is>
      </c>
      <c r="Q5" s="5" t="inlineStr">
        <is>
          <t>Priority
rank</t>
        </is>
      </c>
      <c r="R5" s="5" t="inlineStr">
        <is>
          <t>Review flag</t>
        </is>
      </c>
      <c r="T5" s="6" t="inlineStr">
        <is>
          <t>Summary</t>
        </is>
      </c>
      <c r="U5" s="6" t="n"/>
    </row>
    <row r="6">
      <c r="A6" s="7" t="n"/>
      <c r="B6" s="7" t="n"/>
      <c r="C6" s="7" t="n"/>
      <c r="D6" s="7" t="n"/>
      <c r="E6" s="7" t="n"/>
      <c r="F6" s="7" t="n"/>
      <c r="G6" s="8" t="n"/>
      <c r="H6" s="8" t="n"/>
      <c r="I6" s="7" t="n"/>
      <c r="J6" s="7" t="n"/>
      <c r="K6" s="7" t="n"/>
      <c r="L6" s="9" t="n"/>
      <c r="M6" s="9" t="n"/>
      <c r="N6" s="9" t="n"/>
      <c r="O6" s="10">
        <f>IF(OR(G6="",H6=""),"",G6*H6)</f>
        <v/>
      </c>
      <c r="P6" s="11">
        <f>IF(O6="","",IF(O6&gt;=$U$6,"High",IF(O6&gt;=$U$7,"Medium","Low")))</f>
        <v/>
      </c>
      <c r="Q6" s="11">
        <f>IF(OR(O6="",K6="Closed"),"",1+COUNTIFS($O$6:$O$55,"&gt;"&amp;O6,$K$6:$K$55,"&lt;&gt;Closed"))</f>
        <v/>
      </c>
      <c r="R6" s="11">
        <f>IF(OR(N6="",K6="Closed"),"",IF(N6&lt;TODAY(),"Overdue",""))</f>
        <v/>
      </c>
      <c r="T6" s="12" t="inlineStr">
        <is>
          <t>High from (score)</t>
        </is>
      </c>
      <c r="U6" s="13" t="n">
        <v>15</v>
      </c>
    </row>
    <row r="7">
      <c r="A7" s="7" t="n"/>
      <c r="B7" s="7" t="n"/>
      <c r="C7" s="7" t="n"/>
      <c r="D7" s="7" t="n"/>
      <c r="E7" s="7" t="n"/>
      <c r="F7" s="7" t="n"/>
      <c r="G7" s="8" t="n"/>
      <c r="H7" s="8" t="n"/>
      <c r="I7" s="7" t="n"/>
      <c r="J7" s="7" t="n"/>
      <c r="K7" s="7" t="n"/>
      <c r="L7" s="9" t="n"/>
      <c r="M7" s="9" t="n"/>
      <c r="N7" s="9" t="n"/>
      <c r="O7" s="10">
        <f>IF(OR(G7="",H7=""),"",G7*H7)</f>
        <v/>
      </c>
      <c r="P7" s="11">
        <f>IF(O7="","",IF(O7&gt;=$U$6,"High",IF(O7&gt;=$U$7,"Medium","Low")))</f>
        <v/>
      </c>
      <c r="Q7" s="11">
        <f>IF(OR(O7="",K7="Closed"),"",1+COUNTIFS($O$6:$O$55,"&gt;"&amp;O7,$K$6:$K$55,"&lt;&gt;Closed"))</f>
        <v/>
      </c>
      <c r="R7" s="11">
        <f>IF(OR(N7="",K7="Closed"),"",IF(N7&lt;TODAY(),"Overdue",""))</f>
        <v/>
      </c>
      <c r="T7" s="12" t="inlineStr">
        <is>
          <t>Medium from (score)</t>
        </is>
      </c>
      <c r="U7" s="13" t="n">
        <v>6</v>
      </c>
    </row>
    <row r="8">
      <c r="A8" s="7" t="n"/>
      <c r="B8" s="7" t="n"/>
      <c r="C8" s="7" t="n"/>
      <c r="D8" s="7" t="n"/>
      <c r="E8" s="7" t="n"/>
      <c r="F8" s="7" t="n"/>
      <c r="G8" s="8" t="n"/>
      <c r="H8" s="8" t="n"/>
      <c r="I8" s="7" t="n"/>
      <c r="J8" s="7" t="n"/>
      <c r="K8" s="7" t="n"/>
      <c r="L8" s="9" t="n"/>
      <c r="M8" s="9" t="n"/>
      <c r="N8" s="9" t="n"/>
      <c r="O8" s="10">
        <f>IF(OR(G8="",H8=""),"",G8*H8)</f>
        <v/>
      </c>
      <c r="P8" s="11">
        <f>IF(O8="","",IF(O8&gt;=$U$6,"High",IF(O8&gt;=$U$7,"Medium","Low")))</f>
        <v/>
      </c>
      <c r="Q8" s="11">
        <f>IF(OR(O8="",K8="Closed"),"",1+COUNTIFS($O$6:$O$55,"&gt;"&amp;O8,$K$6:$K$55,"&lt;&gt;Closed"))</f>
        <v/>
      </c>
      <c r="R8" s="11">
        <f>IF(OR(N8="",K8="Closed"),"",IF(N8&lt;TODAY(),"Overdue",""))</f>
        <v/>
      </c>
      <c r="T8" s="12" t="inlineStr">
        <is>
          <t>Risks listed</t>
        </is>
      </c>
      <c r="U8" s="14">
        <f>COUNTA($B$6:$B$55)</f>
        <v/>
      </c>
    </row>
    <row r="9">
      <c r="A9" s="7" t="n"/>
      <c r="B9" s="7" t="n"/>
      <c r="C9" s="7" t="n"/>
      <c r="D9" s="7" t="n"/>
      <c r="E9" s="7" t="n"/>
      <c r="F9" s="7" t="n"/>
      <c r="G9" s="8" t="n"/>
      <c r="H9" s="8" t="n"/>
      <c r="I9" s="7" t="n"/>
      <c r="J9" s="7" t="n"/>
      <c r="K9" s="7" t="n"/>
      <c r="L9" s="9" t="n"/>
      <c r="M9" s="9" t="n"/>
      <c r="N9" s="9" t="n"/>
      <c r="O9" s="10">
        <f>IF(OR(G9="",H9=""),"",G9*H9)</f>
        <v/>
      </c>
      <c r="P9" s="11">
        <f>IF(O9="","",IF(O9&gt;=$U$6,"High",IF(O9&gt;=$U$7,"Medium","Low")))</f>
        <v/>
      </c>
      <c r="Q9" s="11">
        <f>IF(OR(O9="",K9="Closed"),"",1+COUNTIFS($O$6:$O$55,"&gt;"&amp;O9,$K$6:$K$55,"&lt;&gt;Closed"))</f>
        <v/>
      </c>
      <c r="R9" s="11">
        <f>IF(OR(N9="",K9="Closed"),"",IF(N9&lt;TODAY(),"Overdue",""))</f>
        <v/>
      </c>
      <c r="T9" s="12" t="inlineStr">
        <is>
          <t>High, not closed</t>
        </is>
      </c>
      <c r="U9" s="14">
        <f>COUNTIFS($P$6:$P$55,"High",$K$6:$K$55,"&lt;&gt;Closed")</f>
        <v/>
      </c>
    </row>
    <row r="10">
      <c r="A10" s="7" t="n"/>
      <c r="B10" s="7" t="n"/>
      <c r="C10" s="7" t="n"/>
      <c r="D10" s="7" t="n"/>
      <c r="E10" s="7" t="n"/>
      <c r="F10" s="7" t="n"/>
      <c r="G10" s="8" t="n"/>
      <c r="H10" s="8" t="n"/>
      <c r="I10" s="7" t="n"/>
      <c r="J10" s="7" t="n"/>
      <c r="K10" s="7" t="n"/>
      <c r="L10" s="9" t="n"/>
      <c r="M10" s="9" t="n"/>
      <c r="N10" s="9" t="n"/>
      <c r="O10" s="10">
        <f>IF(OR(G10="",H10=""),"",G10*H10)</f>
        <v/>
      </c>
      <c r="P10" s="11">
        <f>IF(O10="","",IF(O10&gt;=$U$6,"High",IF(O10&gt;=$U$7,"Medium","Low")))</f>
        <v/>
      </c>
      <c r="Q10" s="11">
        <f>IF(OR(O10="",K10="Closed"),"",1+COUNTIFS($O$6:$O$55,"&gt;"&amp;O10,$K$6:$K$55,"&lt;&gt;Closed"))</f>
        <v/>
      </c>
      <c r="R10" s="11">
        <f>IF(OR(N10="",K10="Closed"),"",IF(N10&lt;TODAY(),"Overdue",""))</f>
        <v/>
      </c>
      <c r="T10" s="12" t="inlineStr">
        <is>
          <t>Medium, not closed</t>
        </is>
      </c>
      <c r="U10" s="14">
        <f>COUNTIFS($P$6:$P$55,"Medium",$K$6:$K$55,"&lt;&gt;Closed")</f>
        <v/>
      </c>
    </row>
    <row r="11">
      <c r="A11" s="7" t="n"/>
      <c r="B11" s="7" t="n"/>
      <c r="C11" s="7" t="n"/>
      <c r="D11" s="7" t="n"/>
      <c r="E11" s="7" t="n"/>
      <c r="F11" s="7" t="n"/>
      <c r="G11" s="8" t="n"/>
      <c r="H11" s="8" t="n"/>
      <c r="I11" s="7" t="n"/>
      <c r="J11" s="7" t="n"/>
      <c r="K11" s="7" t="n"/>
      <c r="L11" s="9" t="n"/>
      <c r="M11" s="9" t="n"/>
      <c r="N11" s="9" t="n"/>
      <c r="O11" s="10">
        <f>IF(OR(G11="",H11=""),"",G11*H11)</f>
        <v/>
      </c>
      <c r="P11" s="11">
        <f>IF(O11="","",IF(O11&gt;=$U$6,"High",IF(O11&gt;=$U$7,"Medium","Low")))</f>
        <v/>
      </c>
      <c r="Q11" s="11">
        <f>IF(OR(O11="",K11="Closed"),"",1+COUNTIFS($O$6:$O$55,"&gt;"&amp;O11,$K$6:$K$55,"&lt;&gt;Closed"))</f>
        <v/>
      </c>
      <c r="R11" s="11">
        <f>IF(OR(N11="",K11="Closed"),"",IF(N11&lt;TODAY(),"Overdue",""))</f>
        <v/>
      </c>
      <c r="T11" s="12" t="inlineStr">
        <is>
          <t>Low, not closed</t>
        </is>
      </c>
      <c r="U11" s="14">
        <f>COUNTIFS($P$6:$P$55,"Low",$K$6:$K$55,"&lt;&gt;Closed")</f>
        <v/>
      </c>
    </row>
    <row r="12">
      <c r="A12" s="7" t="n"/>
      <c r="B12" s="7" t="n"/>
      <c r="C12" s="7" t="n"/>
      <c r="D12" s="7" t="n"/>
      <c r="E12" s="7" t="n"/>
      <c r="F12" s="7" t="n"/>
      <c r="G12" s="8" t="n"/>
      <c r="H12" s="8" t="n"/>
      <c r="I12" s="7" t="n"/>
      <c r="J12" s="7" t="n"/>
      <c r="K12" s="7" t="n"/>
      <c r="L12" s="9" t="n"/>
      <c r="M12" s="9" t="n"/>
      <c r="N12" s="9" t="n"/>
      <c r="O12" s="10">
        <f>IF(OR(G12="",H12=""),"",G12*H12)</f>
        <v/>
      </c>
      <c r="P12" s="11">
        <f>IF(O12="","",IF(O12&gt;=$U$6,"High",IF(O12&gt;=$U$7,"Medium","Low")))</f>
        <v/>
      </c>
      <c r="Q12" s="11">
        <f>IF(OR(O12="",K12="Closed"),"",1+COUNTIFS($O$6:$O$55,"&gt;"&amp;O12,$K$6:$K$55,"&lt;&gt;Closed"))</f>
        <v/>
      </c>
      <c r="R12" s="11">
        <f>IF(OR(N12="",K12="Closed"),"",IF(N12&lt;TODAY(),"Overdue",""))</f>
        <v/>
      </c>
      <c r="T12" s="12" t="inlineStr">
        <is>
          <t>Closed</t>
        </is>
      </c>
      <c r="U12" s="14">
        <f>COUNTIF($K$6:$K$55,"Closed")</f>
        <v/>
      </c>
    </row>
    <row r="13">
      <c r="A13" s="7" t="n"/>
      <c r="B13" s="7" t="n"/>
      <c r="C13" s="7" t="n"/>
      <c r="D13" s="7" t="n"/>
      <c r="E13" s="7" t="n"/>
      <c r="F13" s="7" t="n"/>
      <c r="G13" s="8" t="n"/>
      <c r="H13" s="8" t="n"/>
      <c r="I13" s="7" t="n"/>
      <c r="J13" s="7" t="n"/>
      <c r="K13" s="7" t="n"/>
      <c r="L13" s="9" t="n"/>
      <c r="M13" s="9" t="n"/>
      <c r="N13" s="9" t="n"/>
      <c r="O13" s="10">
        <f>IF(OR(G13="",H13=""),"",G13*H13)</f>
        <v/>
      </c>
      <c r="P13" s="11">
        <f>IF(O13="","",IF(O13&gt;=$U$6,"High",IF(O13&gt;=$U$7,"Medium","Low")))</f>
        <v/>
      </c>
      <c r="Q13" s="11">
        <f>IF(OR(O13="",K13="Closed"),"",1+COUNTIFS($O$6:$O$55,"&gt;"&amp;O13,$K$6:$K$55,"&lt;&gt;Closed"))</f>
        <v/>
      </c>
      <c r="R13" s="11">
        <f>IF(OR(N13="",K13="Closed"),"",IF(N13&lt;TODAY(),"Overdue",""))</f>
        <v/>
      </c>
      <c r="T13" s="12" t="inlineStr">
        <is>
          <t>Review overdue</t>
        </is>
      </c>
      <c r="U13" s="14">
        <f>COUNTIF($R$6:$R$55,"Overdue")</f>
        <v/>
      </c>
    </row>
    <row r="14">
      <c r="A14" s="7" t="n"/>
      <c r="B14" s="7" t="n"/>
      <c r="C14" s="7" t="n"/>
      <c r="D14" s="7" t="n"/>
      <c r="E14" s="7" t="n"/>
      <c r="F14" s="7" t="n"/>
      <c r="G14" s="8" t="n"/>
      <c r="H14" s="8" t="n"/>
      <c r="I14" s="7" t="n"/>
      <c r="J14" s="7" t="n"/>
      <c r="K14" s="7" t="n"/>
      <c r="L14" s="9" t="n"/>
      <c r="M14" s="9" t="n"/>
      <c r="N14" s="9" t="n"/>
      <c r="O14" s="10">
        <f>IF(OR(G14="",H14=""),"",G14*H14)</f>
        <v/>
      </c>
      <c r="P14" s="11">
        <f>IF(O14="","",IF(O14&gt;=$U$6,"High",IF(O14&gt;=$U$7,"Medium","Low")))</f>
        <v/>
      </c>
      <c r="Q14" s="11">
        <f>IF(OR(O14="",K14="Closed"),"",1+COUNTIFS($O$6:$O$55,"&gt;"&amp;O14,$K$6:$K$55,"&lt;&gt;Closed"))</f>
        <v/>
      </c>
      <c r="R14" s="11">
        <f>IF(OR(N14="",K14="Closed"),"",IF(N14&lt;TODAY(),"Overdue",""))</f>
        <v/>
      </c>
      <c r="T14" s="12" t="inlineStr">
        <is>
          <t>Without owner</t>
        </is>
      </c>
      <c r="U14" s="14">
        <f>SUMPRODUCT(($B$6:$B$55&lt;&gt;"")*($F$6:$F$55=""))</f>
        <v/>
      </c>
    </row>
    <row r="15">
      <c r="A15" s="7" t="n"/>
      <c r="B15" s="7" t="n"/>
      <c r="C15" s="7" t="n"/>
      <c r="D15" s="7" t="n"/>
      <c r="E15" s="7" t="n"/>
      <c r="F15" s="7" t="n"/>
      <c r="G15" s="8" t="n"/>
      <c r="H15" s="8" t="n"/>
      <c r="I15" s="7" t="n"/>
      <c r="J15" s="7" t="n"/>
      <c r="K15" s="7" t="n"/>
      <c r="L15" s="9" t="n"/>
      <c r="M15" s="9" t="n"/>
      <c r="N15" s="9" t="n"/>
      <c r="O15" s="10">
        <f>IF(OR(G15="",H15=""),"",G15*H15)</f>
        <v/>
      </c>
      <c r="P15" s="11">
        <f>IF(O15="","",IF(O15&gt;=$U$6,"High",IF(O15&gt;=$U$7,"Medium","Low")))</f>
        <v/>
      </c>
      <c r="Q15" s="11">
        <f>IF(OR(O15="",K15="Closed"),"",1+COUNTIFS($O$6:$O$55,"&gt;"&amp;O15,$K$6:$K$55,"&lt;&gt;Closed"))</f>
        <v/>
      </c>
      <c r="R15" s="11">
        <f>IF(OR(N15="",K15="Closed"),"",IF(N15&lt;TODAY(),"Overdue",""))</f>
        <v/>
      </c>
      <c r="T15" s="12" t="inlineStr">
        <is>
          <t>Without response</t>
        </is>
      </c>
      <c r="U15" s="14">
        <f>SUMPRODUCT(($B$6:$B$55&lt;&gt;"")*($J$6:$J$55=""))</f>
        <v/>
      </c>
    </row>
    <row r="16">
      <c r="A16" s="7" t="n"/>
      <c r="B16" s="7" t="n"/>
      <c r="C16" s="7" t="n"/>
      <c r="D16" s="7" t="n"/>
      <c r="E16" s="7" t="n"/>
      <c r="F16" s="7" t="n"/>
      <c r="G16" s="8" t="n"/>
      <c r="H16" s="8" t="n"/>
      <c r="I16" s="7" t="n"/>
      <c r="J16" s="7" t="n"/>
      <c r="K16" s="7" t="n"/>
      <c r="L16" s="9" t="n"/>
      <c r="M16" s="9" t="n"/>
      <c r="N16" s="9" t="n"/>
      <c r="O16" s="10">
        <f>IF(OR(G16="",H16=""),"",G16*H16)</f>
        <v/>
      </c>
      <c r="P16" s="11">
        <f>IF(O16="","",IF(O16&gt;=$U$6,"High",IF(O16&gt;=$U$7,"Medium","Low")))</f>
        <v/>
      </c>
      <c r="Q16" s="11">
        <f>IF(OR(O16="",K16="Closed"),"",1+COUNTIFS($O$6:$O$55,"&gt;"&amp;O16,$K$6:$K$55,"&lt;&gt;Closed"))</f>
        <v/>
      </c>
      <c r="R16" s="11">
        <f>IF(OR(N16="",K16="Closed"),"",IF(N16&lt;TODAY(),"Overdue",""))</f>
        <v/>
      </c>
      <c r="T16" s="12" t="inlineStr">
        <is>
          <t>Highest score</t>
        </is>
      </c>
      <c r="U16" s="14">
        <f>IF(COUNT($O$6:$O$55)=0,"",MAX($O$6:$O$55))</f>
        <v/>
      </c>
    </row>
    <row r="17">
      <c r="A17" s="7" t="n"/>
      <c r="B17" s="7" t="n"/>
      <c r="C17" s="7" t="n"/>
      <c r="D17" s="7" t="n"/>
      <c r="E17" s="7" t="n"/>
      <c r="F17" s="7" t="n"/>
      <c r="G17" s="8" t="n"/>
      <c r="H17" s="8" t="n"/>
      <c r="I17" s="7" t="n"/>
      <c r="J17" s="7" t="n"/>
      <c r="K17" s="7" t="n"/>
      <c r="L17" s="9" t="n"/>
      <c r="M17" s="9" t="n"/>
      <c r="N17" s="9" t="n"/>
      <c r="O17" s="10">
        <f>IF(OR(G17="",H17=""),"",G17*H17)</f>
        <v/>
      </c>
      <c r="P17" s="11">
        <f>IF(O17="","",IF(O17&gt;=$U$6,"High",IF(O17&gt;=$U$7,"Medium","Low")))</f>
        <v/>
      </c>
      <c r="Q17" s="11">
        <f>IF(OR(O17="",K17="Closed"),"",1+COUNTIFS($O$6:$O$55,"&gt;"&amp;O17,$K$6:$K$55,"&lt;&gt;Closed"))</f>
        <v/>
      </c>
      <c r="R17" s="11">
        <f>IF(OR(N17="",K17="Closed"),"",IF(N17&lt;TODAY(),"Overdue",""))</f>
        <v/>
      </c>
    </row>
    <row r="18">
      <c r="A18" s="7" t="n"/>
      <c r="B18" s="7" t="n"/>
      <c r="C18" s="7" t="n"/>
      <c r="D18" s="7" t="n"/>
      <c r="E18" s="7" t="n"/>
      <c r="F18" s="7" t="n"/>
      <c r="G18" s="8" t="n"/>
      <c r="H18" s="8" t="n"/>
      <c r="I18" s="7" t="n"/>
      <c r="J18" s="7" t="n"/>
      <c r="K18" s="7" t="n"/>
      <c r="L18" s="9" t="n"/>
      <c r="M18" s="9" t="n"/>
      <c r="N18" s="9" t="n"/>
      <c r="O18" s="10">
        <f>IF(OR(G18="",H18=""),"",G18*H18)</f>
        <v/>
      </c>
      <c r="P18" s="11">
        <f>IF(O18="","",IF(O18&gt;=$U$6,"High",IF(O18&gt;=$U$7,"Medium","Low")))</f>
        <v/>
      </c>
      <c r="Q18" s="11">
        <f>IF(OR(O18="",K18="Closed"),"",1+COUNTIFS($O$6:$O$55,"&gt;"&amp;O18,$K$6:$K$55,"&lt;&gt;Closed"))</f>
        <v/>
      </c>
      <c r="R18" s="11">
        <f>IF(OR(N18="",K18="Closed"),"",IF(N18&lt;TODAY(),"Overdue",""))</f>
        <v/>
      </c>
    </row>
    <row r="19">
      <c r="A19" s="7" t="n"/>
      <c r="B19" s="7" t="n"/>
      <c r="C19" s="7" t="n"/>
      <c r="D19" s="7" t="n"/>
      <c r="E19" s="7" t="n"/>
      <c r="F19" s="7" t="n"/>
      <c r="G19" s="8" t="n"/>
      <c r="H19" s="8" t="n"/>
      <c r="I19" s="7" t="n"/>
      <c r="J19" s="7" t="n"/>
      <c r="K19" s="7" t="n"/>
      <c r="L19" s="9" t="n"/>
      <c r="M19" s="9" t="n"/>
      <c r="N19" s="9" t="n"/>
      <c r="O19" s="10">
        <f>IF(OR(G19="",H19=""),"",G19*H19)</f>
        <v/>
      </c>
      <c r="P19" s="11">
        <f>IF(O19="","",IF(O19&gt;=$U$6,"High",IF(O19&gt;=$U$7,"Medium","Low")))</f>
        <v/>
      </c>
      <c r="Q19" s="11">
        <f>IF(OR(O19="",K19="Closed"),"",1+COUNTIFS($O$6:$O$55,"&gt;"&amp;O19,$K$6:$K$55,"&lt;&gt;Closed"))</f>
        <v/>
      </c>
      <c r="R19" s="11">
        <f>IF(OR(N19="",K19="Closed"),"",IF(N19&lt;TODAY(),"Overdue",""))</f>
        <v/>
      </c>
    </row>
    <row r="20">
      <c r="A20" s="7" t="n"/>
      <c r="B20" s="7" t="n"/>
      <c r="C20" s="7" t="n"/>
      <c r="D20" s="7" t="n"/>
      <c r="E20" s="7" t="n"/>
      <c r="F20" s="7" t="n"/>
      <c r="G20" s="8" t="n"/>
      <c r="H20" s="8" t="n"/>
      <c r="I20" s="7" t="n"/>
      <c r="J20" s="7" t="n"/>
      <c r="K20" s="7" t="n"/>
      <c r="L20" s="9" t="n"/>
      <c r="M20" s="9" t="n"/>
      <c r="N20" s="9" t="n"/>
      <c r="O20" s="10">
        <f>IF(OR(G20="",H20=""),"",G20*H20)</f>
        <v/>
      </c>
      <c r="P20" s="11">
        <f>IF(O20="","",IF(O20&gt;=$U$6,"High",IF(O20&gt;=$U$7,"Medium","Low")))</f>
        <v/>
      </c>
      <c r="Q20" s="11">
        <f>IF(OR(O20="",K20="Closed"),"",1+COUNTIFS($O$6:$O$55,"&gt;"&amp;O20,$K$6:$K$55,"&lt;&gt;Closed"))</f>
        <v/>
      </c>
      <c r="R20" s="11">
        <f>IF(OR(N20="",K20="Closed"),"",IF(N20&lt;TODAY(),"Overdue",""))</f>
        <v/>
      </c>
    </row>
    <row r="21">
      <c r="A21" s="7" t="n"/>
      <c r="B21" s="7" t="n"/>
      <c r="C21" s="7" t="n"/>
      <c r="D21" s="7" t="n"/>
      <c r="E21" s="7" t="n"/>
      <c r="F21" s="7" t="n"/>
      <c r="G21" s="8" t="n"/>
      <c r="H21" s="8" t="n"/>
      <c r="I21" s="7" t="n"/>
      <c r="J21" s="7" t="n"/>
      <c r="K21" s="7" t="n"/>
      <c r="L21" s="9" t="n"/>
      <c r="M21" s="9" t="n"/>
      <c r="N21" s="9" t="n"/>
      <c r="O21" s="10">
        <f>IF(OR(G21="",H21=""),"",G21*H21)</f>
        <v/>
      </c>
      <c r="P21" s="11">
        <f>IF(O21="","",IF(O21&gt;=$U$6,"High",IF(O21&gt;=$U$7,"Medium","Low")))</f>
        <v/>
      </c>
      <c r="Q21" s="11">
        <f>IF(OR(O21="",K21="Closed"),"",1+COUNTIFS($O$6:$O$55,"&gt;"&amp;O21,$K$6:$K$55,"&lt;&gt;Closed"))</f>
        <v/>
      </c>
      <c r="R21" s="11">
        <f>IF(OR(N21="",K21="Closed"),"",IF(N21&lt;TODAY(),"Overdue",""))</f>
        <v/>
      </c>
    </row>
    <row r="22">
      <c r="A22" s="7" t="n"/>
      <c r="B22" s="7" t="n"/>
      <c r="C22" s="7" t="n"/>
      <c r="D22" s="7" t="n"/>
      <c r="E22" s="7" t="n"/>
      <c r="F22" s="7" t="n"/>
      <c r="G22" s="8" t="n"/>
      <c r="H22" s="8" t="n"/>
      <c r="I22" s="7" t="n"/>
      <c r="J22" s="7" t="n"/>
      <c r="K22" s="7" t="n"/>
      <c r="L22" s="9" t="n"/>
      <c r="M22" s="9" t="n"/>
      <c r="N22" s="9" t="n"/>
      <c r="O22" s="10">
        <f>IF(OR(G22="",H22=""),"",G22*H22)</f>
        <v/>
      </c>
      <c r="P22" s="11">
        <f>IF(O22="","",IF(O22&gt;=$U$6,"High",IF(O22&gt;=$U$7,"Medium","Low")))</f>
        <v/>
      </c>
      <c r="Q22" s="11">
        <f>IF(OR(O22="",K22="Closed"),"",1+COUNTIFS($O$6:$O$55,"&gt;"&amp;O22,$K$6:$K$55,"&lt;&gt;Closed"))</f>
        <v/>
      </c>
      <c r="R22" s="11">
        <f>IF(OR(N22="",K22="Closed"),"",IF(N22&lt;TODAY(),"Overdue",""))</f>
        <v/>
      </c>
    </row>
    <row r="23">
      <c r="A23" s="7" t="n"/>
      <c r="B23" s="7" t="n"/>
      <c r="C23" s="7" t="n"/>
      <c r="D23" s="7" t="n"/>
      <c r="E23" s="7" t="n"/>
      <c r="F23" s="7" t="n"/>
      <c r="G23" s="8" t="n"/>
      <c r="H23" s="8" t="n"/>
      <c r="I23" s="7" t="n"/>
      <c r="J23" s="7" t="n"/>
      <c r="K23" s="7" t="n"/>
      <c r="L23" s="9" t="n"/>
      <c r="M23" s="9" t="n"/>
      <c r="N23" s="9" t="n"/>
      <c r="O23" s="10">
        <f>IF(OR(G23="",H23=""),"",G23*H23)</f>
        <v/>
      </c>
      <c r="P23" s="11">
        <f>IF(O23="","",IF(O23&gt;=$U$6,"High",IF(O23&gt;=$U$7,"Medium","Low")))</f>
        <v/>
      </c>
      <c r="Q23" s="11">
        <f>IF(OR(O23="",K23="Closed"),"",1+COUNTIFS($O$6:$O$55,"&gt;"&amp;O23,$K$6:$K$55,"&lt;&gt;Closed"))</f>
        <v/>
      </c>
      <c r="R23" s="11">
        <f>IF(OR(N23="",K23="Closed"),"",IF(N23&lt;TODAY(),"Overdue",""))</f>
        <v/>
      </c>
    </row>
    <row r="24">
      <c r="A24" s="7" t="n"/>
      <c r="B24" s="7" t="n"/>
      <c r="C24" s="7" t="n"/>
      <c r="D24" s="7" t="n"/>
      <c r="E24" s="7" t="n"/>
      <c r="F24" s="7" t="n"/>
      <c r="G24" s="8" t="n"/>
      <c r="H24" s="8" t="n"/>
      <c r="I24" s="7" t="n"/>
      <c r="J24" s="7" t="n"/>
      <c r="K24" s="7" t="n"/>
      <c r="L24" s="9" t="n"/>
      <c r="M24" s="9" t="n"/>
      <c r="N24" s="9" t="n"/>
      <c r="O24" s="10">
        <f>IF(OR(G24="",H24=""),"",G24*H24)</f>
        <v/>
      </c>
      <c r="P24" s="11">
        <f>IF(O24="","",IF(O24&gt;=$U$6,"High",IF(O24&gt;=$U$7,"Medium","Low")))</f>
        <v/>
      </c>
      <c r="Q24" s="11">
        <f>IF(OR(O24="",K24="Closed"),"",1+COUNTIFS($O$6:$O$55,"&gt;"&amp;O24,$K$6:$K$55,"&lt;&gt;Closed"))</f>
        <v/>
      </c>
      <c r="R24" s="11">
        <f>IF(OR(N24="",K24="Closed"),"",IF(N24&lt;TODAY(),"Overdue",""))</f>
        <v/>
      </c>
    </row>
    <row r="25">
      <c r="A25" s="7" t="n"/>
      <c r="B25" s="7" t="n"/>
      <c r="C25" s="7" t="n"/>
      <c r="D25" s="7" t="n"/>
      <c r="E25" s="7" t="n"/>
      <c r="F25" s="7" t="n"/>
      <c r="G25" s="8" t="n"/>
      <c r="H25" s="8" t="n"/>
      <c r="I25" s="7" t="n"/>
      <c r="J25" s="7" t="n"/>
      <c r="K25" s="7" t="n"/>
      <c r="L25" s="9" t="n"/>
      <c r="M25" s="9" t="n"/>
      <c r="N25" s="9" t="n"/>
      <c r="O25" s="10">
        <f>IF(OR(G25="",H25=""),"",G25*H25)</f>
        <v/>
      </c>
      <c r="P25" s="11">
        <f>IF(O25="","",IF(O25&gt;=$U$6,"High",IF(O25&gt;=$U$7,"Medium","Low")))</f>
        <v/>
      </c>
      <c r="Q25" s="11">
        <f>IF(OR(O25="",K25="Closed"),"",1+COUNTIFS($O$6:$O$55,"&gt;"&amp;O25,$K$6:$K$55,"&lt;&gt;Closed"))</f>
        <v/>
      </c>
      <c r="R25" s="11">
        <f>IF(OR(N25="",K25="Closed"),"",IF(N25&lt;TODAY(),"Overdue",""))</f>
        <v/>
      </c>
    </row>
    <row r="26">
      <c r="A26" s="7" t="n"/>
      <c r="B26" s="7" t="n"/>
      <c r="C26" s="7" t="n"/>
      <c r="D26" s="7" t="n"/>
      <c r="E26" s="7" t="n"/>
      <c r="F26" s="7" t="n"/>
      <c r="G26" s="8" t="n"/>
      <c r="H26" s="8" t="n"/>
      <c r="I26" s="7" t="n"/>
      <c r="J26" s="7" t="n"/>
      <c r="K26" s="7" t="n"/>
      <c r="L26" s="9" t="n"/>
      <c r="M26" s="9" t="n"/>
      <c r="N26" s="9" t="n"/>
      <c r="O26" s="10">
        <f>IF(OR(G26="",H26=""),"",G26*H26)</f>
        <v/>
      </c>
      <c r="P26" s="11">
        <f>IF(O26="","",IF(O26&gt;=$U$6,"High",IF(O26&gt;=$U$7,"Medium","Low")))</f>
        <v/>
      </c>
      <c r="Q26" s="11">
        <f>IF(OR(O26="",K26="Closed"),"",1+COUNTIFS($O$6:$O$55,"&gt;"&amp;O26,$K$6:$K$55,"&lt;&gt;Closed"))</f>
        <v/>
      </c>
      <c r="R26" s="11">
        <f>IF(OR(N26="",K26="Closed"),"",IF(N26&lt;TODAY(),"Overdue",""))</f>
        <v/>
      </c>
    </row>
    <row r="27">
      <c r="A27" s="7" t="n"/>
      <c r="B27" s="7" t="n"/>
      <c r="C27" s="7" t="n"/>
      <c r="D27" s="7" t="n"/>
      <c r="E27" s="7" t="n"/>
      <c r="F27" s="7" t="n"/>
      <c r="G27" s="8" t="n"/>
      <c r="H27" s="8" t="n"/>
      <c r="I27" s="7" t="n"/>
      <c r="J27" s="7" t="n"/>
      <c r="K27" s="7" t="n"/>
      <c r="L27" s="9" t="n"/>
      <c r="M27" s="9" t="n"/>
      <c r="N27" s="9" t="n"/>
      <c r="O27" s="10">
        <f>IF(OR(G27="",H27=""),"",G27*H27)</f>
        <v/>
      </c>
      <c r="P27" s="11">
        <f>IF(O27="","",IF(O27&gt;=$U$6,"High",IF(O27&gt;=$U$7,"Medium","Low")))</f>
        <v/>
      </c>
      <c r="Q27" s="11">
        <f>IF(OR(O27="",K27="Closed"),"",1+COUNTIFS($O$6:$O$55,"&gt;"&amp;O27,$K$6:$K$55,"&lt;&gt;Closed"))</f>
        <v/>
      </c>
      <c r="R27" s="11">
        <f>IF(OR(N27="",K27="Closed"),"",IF(N27&lt;TODAY(),"Overdue",""))</f>
        <v/>
      </c>
    </row>
    <row r="28">
      <c r="A28" s="7" t="n"/>
      <c r="B28" s="7" t="n"/>
      <c r="C28" s="7" t="n"/>
      <c r="D28" s="7" t="n"/>
      <c r="E28" s="7" t="n"/>
      <c r="F28" s="7" t="n"/>
      <c r="G28" s="8" t="n"/>
      <c r="H28" s="8" t="n"/>
      <c r="I28" s="7" t="n"/>
      <c r="J28" s="7" t="n"/>
      <c r="K28" s="7" t="n"/>
      <c r="L28" s="9" t="n"/>
      <c r="M28" s="9" t="n"/>
      <c r="N28" s="9" t="n"/>
      <c r="O28" s="10">
        <f>IF(OR(G28="",H28=""),"",G28*H28)</f>
        <v/>
      </c>
      <c r="P28" s="11">
        <f>IF(O28="","",IF(O28&gt;=$U$6,"High",IF(O28&gt;=$U$7,"Medium","Low")))</f>
        <v/>
      </c>
      <c r="Q28" s="11">
        <f>IF(OR(O28="",K28="Closed"),"",1+COUNTIFS($O$6:$O$55,"&gt;"&amp;O28,$K$6:$K$55,"&lt;&gt;Closed"))</f>
        <v/>
      </c>
      <c r="R28" s="11">
        <f>IF(OR(N28="",K28="Closed"),"",IF(N28&lt;TODAY(),"Overdue",""))</f>
        <v/>
      </c>
    </row>
    <row r="29">
      <c r="A29" s="7" t="n"/>
      <c r="B29" s="7" t="n"/>
      <c r="C29" s="7" t="n"/>
      <c r="D29" s="7" t="n"/>
      <c r="E29" s="7" t="n"/>
      <c r="F29" s="7" t="n"/>
      <c r="G29" s="8" t="n"/>
      <c r="H29" s="8" t="n"/>
      <c r="I29" s="7" t="n"/>
      <c r="J29" s="7" t="n"/>
      <c r="K29" s="7" t="n"/>
      <c r="L29" s="9" t="n"/>
      <c r="M29" s="9" t="n"/>
      <c r="N29" s="9" t="n"/>
      <c r="O29" s="10">
        <f>IF(OR(G29="",H29=""),"",G29*H29)</f>
        <v/>
      </c>
      <c r="P29" s="11">
        <f>IF(O29="","",IF(O29&gt;=$U$6,"High",IF(O29&gt;=$U$7,"Medium","Low")))</f>
        <v/>
      </c>
      <c r="Q29" s="11">
        <f>IF(OR(O29="",K29="Closed"),"",1+COUNTIFS($O$6:$O$55,"&gt;"&amp;O29,$K$6:$K$55,"&lt;&gt;Closed"))</f>
        <v/>
      </c>
      <c r="R29" s="11">
        <f>IF(OR(N29="",K29="Closed"),"",IF(N29&lt;TODAY(),"Overdue",""))</f>
        <v/>
      </c>
    </row>
    <row r="30">
      <c r="A30" s="7" t="n"/>
      <c r="B30" s="7" t="n"/>
      <c r="C30" s="7" t="n"/>
      <c r="D30" s="7" t="n"/>
      <c r="E30" s="7" t="n"/>
      <c r="F30" s="7" t="n"/>
      <c r="G30" s="8" t="n"/>
      <c r="H30" s="8" t="n"/>
      <c r="I30" s="7" t="n"/>
      <c r="J30" s="7" t="n"/>
      <c r="K30" s="7" t="n"/>
      <c r="L30" s="9" t="n"/>
      <c r="M30" s="9" t="n"/>
      <c r="N30" s="9" t="n"/>
      <c r="O30" s="10">
        <f>IF(OR(G30="",H30=""),"",G30*H30)</f>
        <v/>
      </c>
      <c r="P30" s="11">
        <f>IF(O30="","",IF(O30&gt;=$U$6,"High",IF(O30&gt;=$U$7,"Medium","Low")))</f>
        <v/>
      </c>
      <c r="Q30" s="11">
        <f>IF(OR(O30="",K30="Closed"),"",1+COUNTIFS($O$6:$O$55,"&gt;"&amp;O30,$K$6:$K$55,"&lt;&gt;Closed"))</f>
        <v/>
      </c>
      <c r="R30" s="11">
        <f>IF(OR(N30="",K30="Closed"),"",IF(N30&lt;TODAY(),"Overdue",""))</f>
        <v/>
      </c>
    </row>
    <row r="31">
      <c r="A31" s="7" t="n"/>
      <c r="B31" s="7" t="n"/>
      <c r="C31" s="7" t="n"/>
      <c r="D31" s="7" t="n"/>
      <c r="E31" s="7" t="n"/>
      <c r="F31" s="7" t="n"/>
      <c r="G31" s="8" t="n"/>
      <c r="H31" s="8" t="n"/>
      <c r="I31" s="7" t="n"/>
      <c r="J31" s="7" t="n"/>
      <c r="K31" s="7" t="n"/>
      <c r="L31" s="9" t="n"/>
      <c r="M31" s="9" t="n"/>
      <c r="N31" s="9" t="n"/>
      <c r="O31" s="10">
        <f>IF(OR(G31="",H31=""),"",G31*H31)</f>
        <v/>
      </c>
      <c r="P31" s="11">
        <f>IF(O31="","",IF(O31&gt;=$U$6,"High",IF(O31&gt;=$U$7,"Medium","Low")))</f>
        <v/>
      </c>
      <c r="Q31" s="11">
        <f>IF(OR(O31="",K31="Closed"),"",1+COUNTIFS($O$6:$O$55,"&gt;"&amp;O31,$K$6:$K$55,"&lt;&gt;Closed"))</f>
        <v/>
      </c>
      <c r="R31" s="11">
        <f>IF(OR(N31="",K31="Closed"),"",IF(N31&lt;TODAY(),"Overdue",""))</f>
        <v/>
      </c>
    </row>
    <row r="32">
      <c r="A32" s="7" t="n"/>
      <c r="B32" s="7" t="n"/>
      <c r="C32" s="7" t="n"/>
      <c r="D32" s="7" t="n"/>
      <c r="E32" s="7" t="n"/>
      <c r="F32" s="7" t="n"/>
      <c r="G32" s="8" t="n"/>
      <c r="H32" s="8" t="n"/>
      <c r="I32" s="7" t="n"/>
      <c r="J32" s="7" t="n"/>
      <c r="K32" s="7" t="n"/>
      <c r="L32" s="9" t="n"/>
      <c r="M32" s="9" t="n"/>
      <c r="N32" s="9" t="n"/>
      <c r="O32" s="10">
        <f>IF(OR(G32="",H32=""),"",G32*H32)</f>
        <v/>
      </c>
      <c r="P32" s="11">
        <f>IF(O32="","",IF(O32&gt;=$U$6,"High",IF(O32&gt;=$U$7,"Medium","Low")))</f>
        <v/>
      </c>
      <c r="Q32" s="11">
        <f>IF(OR(O32="",K32="Closed"),"",1+COUNTIFS($O$6:$O$55,"&gt;"&amp;O32,$K$6:$K$55,"&lt;&gt;Closed"))</f>
        <v/>
      </c>
      <c r="R32" s="11">
        <f>IF(OR(N32="",K32="Closed"),"",IF(N32&lt;TODAY(),"Overdue",""))</f>
        <v/>
      </c>
    </row>
    <row r="33">
      <c r="A33" s="7" t="n"/>
      <c r="B33" s="7" t="n"/>
      <c r="C33" s="7" t="n"/>
      <c r="D33" s="7" t="n"/>
      <c r="E33" s="7" t="n"/>
      <c r="F33" s="7" t="n"/>
      <c r="G33" s="8" t="n"/>
      <c r="H33" s="8" t="n"/>
      <c r="I33" s="7" t="n"/>
      <c r="J33" s="7" t="n"/>
      <c r="K33" s="7" t="n"/>
      <c r="L33" s="9" t="n"/>
      <c r="M33" s="9" t="n"/>
      <c r="N33" s="9" t="n"/>
      <c r="O33" s="10">
        <f>IF(OR(G33="",H33=""),"",G33*H33)</f>
        <v/>
      </c>
      <c r="P33" s="11">
        <f>IF(O33="","",IF(O33&gt;=$U$6,"High",IF(O33&gt;=$U$7,"Medium","Low")))</f>
        <v/>
      </c>
      <c r="Q33" s="11">
        <f>IF(OR(O33="",K33="Closed"),"",1+COUNTIFS($O$6:$O$55,"&gt;"&amp;O33,$K$6:$K$55,"&lt;&gt;Closed"))</f>
        <v/>
      </c>
      <c r="R33" s="11">
        <f>IF(OR(N33="",K33="Closed"),"",IF(N33&lt;TODAY(),"Overdue",""))</f>
        <v/>
      </c>
    </row>
    <row r="34">
      <c r="A34" s="7" t="n"/>
      <c r="B34" s="7" t="n"/>
      <c r="C34" s="7" t="n"/>
      <c r="D34" s="7" t="n"/>
      <c r="E34" s="7" t="n"/>
      <c r="F34" s="7" t="n"/>
      <c r="G34" s="8" t="n"/>
      <c r="H34" s="8" t="n"/>
      <c r="I34" s="7" t="n"/>
      <c r="J34" s="7" t="n"/>
      <c r="K34" s="7" t="n"/>
      <c r="L34" s="9" t="n"/>
      <c r="M34" s="9" t="n"/>
      <c r="N34" s="9" t="n"/>
      <c r="O34" s="10">
        <f>IF(OR(G34="",H34=""),"",G34*H34)</f>
        <v/>
      </c>
      <c r="P34" s="11">
        <f>IF(O34="","",IF(O34&gt;=$U$6,"High",IF(O34&gt;=$U$7,"Medium","Low")))</f>
        <v/>
      </c>
      <c r="Q34" s="11">
        <f>IF(OR(O34="",K34="Closed"),"",1+COUNTIFS($O$6:$O$55,"&gt;"&amp;O34,$K$6:$K$55,"&lt;&gt;Closed"))</f>
        <v/>
      </c>
      <c r="R34" s="11">
        <f>IF(OR(N34="",K34="Closed"),"",IF(N34&lt;TODAY(),"Overdue",""))</f>
        <v/>
      </c>
    </row>
    <row r="35">
      <c r="A35" s="7" t="n"/>
      <c r="B35" s="7" t="n"/>
      <c r="C35" s="7" t="n"/>
      <c r="D35" s="7" t="n"/>
      <c r="E35" s="7" t="n"/>
      <c r="F35" s="7" t="n"/>
      <c r="G35" s="8" t="n"/>
      <c r="H35" s="8" t="n"/>
      <c r="I35" s="7" t="n"/>
      <c r="J35" s="7" t="n"/>
      <c r="K35" s="7" t="n"/>
      <c r="L35" s="9" t="n"/>
      <c r="M35" s="9" t="n"/>
      <c r="N35" s="9" t="n"/>
      <c r="O35" s="10">
        <f>IF(OR(G35="",H35=""),"",G35*H35)</f>
        <v/>
      </c>
      <c r="P35" s="11">
        <f>IF(O35="","",IF(O35&gt;=$U$6,"High",IF(O35&gt;=$U$7,"Medium","Low")))</f>
        <v/>
      </c>
      <c r="Q35" s="11">
        <f>IF(OR(O35="",K35="Closed"),"",1+COUNTIFS($O$6:$O$55,"&gt;"&amp;O35,$K$6:$K$55,"&lt;&gt;Closed"))</f>
        <v/>
      </c>
      <c r="R35" s="11">
        <f>IF(OR(N35="",K35="Closed"),"",IF(N35&lt;TODAY(),"Overdue",""))</f>
        <v/>
      </c>
    </row>
    <row r="36">
      <c r="A36" s="7" t="n"/>
      <c r="B36" s="7" t="n"/>
      <c r="C36" s="7" t="n"/>
      <c r="D36" s="7" t="n"/>
      <c r="E36" s="7" t="n"/>
      <c r="F36" s="7" t="n"/>
      <c r="G36" s="8" t="n"/>
      <c r="H36" s="8" t="n"/>
      <c r="I36" s="7" t="n"/>
      <c r="J36" s="7" t="n"/>
      <c r="K36" s="7" t="n"/>
      <c r="L36" s="9" t="n"/>
      <c r="M36" s="9" t="n"/>
      <c r="N36" s="9" t="n"/>
      <c r="O36" s="10">
        <f>IF(OR(G36="",H36=""),"",G36*H36)</f>
        <v/>
      </c>
      <c r="P36" s="11">
        <f>IF(O36="","",IF(O36&gt;=$U$6,"High",IF(O36&gt;=$U$7,"Medium","Low")))</f>
        <v/>
      </c>
      <c r="Q36" s="11">
        <f>IF(OR(O36="",K36="Closed"),"",1+COUNTIFS($O$6:$O$55,"&gt;"&amp;O36,$K$6:$K$55,"&lt;&gt;Closed"))</f>
        <v/>
      </c>
      <c r="R36" s="11">
        <f>IF(OR(N36="",K36="Closed"),"",IF(N36&lt;TODAY(),"Overdue",""))</f>
        <v/>
      </c>
    </row>
    <row r="37">
      <c r="A37" s="7" t="n"/>
      <c r="B37" s="7" t="n"/>
      <c r="C37" s="7" t="n"/>
      <c r="D37" s="7" t="n"/>
      <c r="E37" s="7" t="n"/>
      <c r="F37" s="7" t="n"/>
      <c r="G37" s="8" t="n"/>
      <c r="H37" s="8" t="n"/>
      <c r="I37" s="7" t="n"/>
      <c r="J37" s="7" t="n"/>
      <c r="K37" s="7" t="n"/>
      <c r="L37" s="9" t="n"/>
      <c r="M37" s="9" t="n"/>
      <c r="N37" s="9" t="n"/>
      <c r="O37" s="10">
        <f>IF(OR(G37="",H37=""),"",G37*H37)</f>
        <v/>
      </c>
      <c r="P37" s="11">
        <f>IF(O37="","",IF(O37&gt;=$U$6,"High",IF(O37&gt;=$U$7,"Medium","Low")))</f>
        <v/>
      </c>
      <c r="Q37" s="11">
        <f>IF(OR(O37="",K37="Closed"),"",1+COUNTIFS($O$6:$O$55,"&gt;"&amp;O37,$K$6:$K$55,"&lt;&gt;Closed"))</f>
        <v/>
      </c>
      <c r="R37" s="11">
        <f>IF(OR(N37="",K37="Closed"),"",IF(N37&lt;TODAY(),"Overdue",""))</f>
        <v/>
      </c>
    </row>
    <row r="38">
      <c r="A38" s="7" t="n"/>
      <c r="B38" s="7" t="n"/>
      <c r="C38" s="7" t="n"/>
      <c r="D38" s="7" t="n"/>
      <c r="E38" s="7" t="n"/>
      <c r="F38" s="7" t="n"/>
      <c r="G38" s="8" t="n"/>
      <c r="H38" s="8" t="n"/>
      <c r="I38" s="7" t="n"/>
      <c r="J38" s="7" t="n"/>
      <c r="K38" s="7" t="n"/>
      <c r="L38" s="9" t="n"/>
      <c r="M38" s="9" t="n"/>
      <c r="N38" s="9" t="n"/>
      <c r="O38" s="10">
        <f>IF(OR(G38="",H38=""),"",G38*H38)</f>
        <v/>
      </c>
      <c r="P38" s="11">
        <f>IF(O38="","",IF(O38&gt;=$U$6,"High",IF(O38&gt;=$U$7,"Medium","Low")))</f>
        <v/>
      </c>
      <c r="Q38" s="11">
        <f>IF(OR(O38="",K38="Closed"),"",1+COUNTIFS($O$6:$O$55,"&gt;"&amp;O38,$K$6:$K$55,"&lt;&gt;Closed"))</f>
        <v/>
      </c>
      <c r="R38" s="11">
        <f>IF(OR(N38="",K38="Closed"),"",IF(N38&lt;TODAY(),"Overdue",""))</f>
        <v/>
      </c>
    </row>
    <row r="39">
      <c r="A39" s="7" t="n"/>
      <c r="B39" s="7" t="n"/>
      <c r="C39" s="7" t="n"/>
      <c r="D39" s="7" t="n"/>
      <c r="E39" s="7" t="n"/>
      <c r="F39" s="7" t="n"/>
      <c r="G39" s="8" t="n"/>
      <c r="H39" s="8" t="n"/>
      <c r="I39" s="7" t="n"/>
      <c r="J39" s="7" t="n"/>
      <c r="K39" s="7" t="n"/>
      <c r="L39" s="9" t="n"/>
      <c r="M39" s="9" t="n"/>
      <c r="N39" s="9" t="n"/>
      <c r="O39" s="10">
        <f>IF(OR(G39="",H39=""),"",G39*H39)</f>
        <v/>
      </c>
      <c r="P39" s="11">
        <f>IF(O39="","",IF(O39&gt;=$U$6,"High",IF(O39&gt;=$U$7,"Medium","Low")))</f>
        <v/>
      </c>
      <c r="Q39" s="11">
        <f>IF(OR(O39="",K39="Closed"),"",1+COUNTIFS($O$6:$O$55,"&gt;"&amp;O39,$K$6:$K$55,"&lt;&gt;Closed"))</f>
        <v/>
      </c>
      <c r="R39" s="11">
        <f>IF(OR(N39="",K39="Closed"),"",IF(N39&lt;TODAY(),"Overdue",""))</f>
        <v/>
      </c>
    </row>
    <row r="40">
      <c r="A40" s="7" t="n"/>
      <c r="B40" s="7" t="n"/>
      <c r="C40" s="7" t="n"/>
      <c r="D40" s="7" t="n"/>
      <c r="E40" s="7" t="n"/>
      <c r="F40" s="7" t="n"/>
      <c r="G40" s="8" t="n"/>
      <c r="H40" s="8" t="n"/>
      <c r="I40" s="7" t="n"/>
      <c r="J40" s="7" t="n"/>
      <c r="K40" s="7" t="n"/>
      <c r="L40" s="9" t="n"/>
      <c r="M40" s="9" t="n"/>
      <c r="N40" s="9" t="n"/>
      <c r="O40" s="10">
        <f>IF(OR(G40="",H40=""),"",G40*H40)</f>
        <v/>
      </c>
      <c r="P40" s="11">
        <f>IF(O40="","",IF(O40&gt;=$U$6,"High",IF(O40&gt;=$U$7,"Medium","Low")))</f>
        <v/>
      </c>
      <c r="Q40" s="11">
        <f>IF(OR(O40="",K40="Closed"),"",1+COUNTIFS($O$6:$O$55,"&gt;"&amp;O40,$K$6:$K$55,"&lt;&gt;Closed"))</f>
        <v/>
      </c>
      <c r="R40" s="11">
        <f>IF(OR(N40="",K40="Closed"),"",IF(N40&lt;TODAY(),"Overdue",""))</f>
        <v/>
      </c>
    </row>
    <row r="41">
      <c r="A41" s="7" t="n"/>
      <c r="B41" s="7" t="n"/>
      <c r="C41" s="7" t="n"/>
      <c r="D41" s="7" t="n"/>
      <c r="E41" s="7" t="n"/>
      <c r="F41" s="7" t="n"/>
      <c r="G41" s="8" t="n"/>
      <c r="H41" s="8" t="n"/>
      <c r="I41" s="7" t="n"/>
      <c r="J41" s="7" t="n"/>
      <c r="K41" s="7" t="n"/>
      <c r="L41" s="9" t="n"/>
      <c r="M41" s="9" t="n"/>
      <c r="N41" s="9" t="n"/>
      <c r="O41" s="10">
        <f>IF(OR(G41="",H41=""),"",G41*H41)</f>
        <v/>
      </c>
      <c r="P41" s="11">
        <f>IF(O41="","",IF(O41&gt;=$U$6,"High",IF(O41&gt;=$U$7,"Medium","Low")))</f>
        <v/>
      </c>
      <c r="Q41" s="11">
        <f>IF(OR(O41="",K41="Closed"),"",1+COUNTIFS($O$6:$O$55,"&gt;"&amp;O41,$K$6:$K$55,"&lt;&gt;Closed"))</f>
        <v/>
      </c>
      <c r="R41" s="11">
        <f>IF(OR(N41="",K41="Closed"),"",IF(N41&lt;TODAY(),"Overdue",""))</f>
        <v/>
      </c>
    </row>
    <row r="42">
      <c r="A42" s="7" t="n"/>
      <c r="B42" s="7" t="n"/>
      <c r="C42" s="7" t="n"/>
      <c r="D42" s="7" t="n"/>
      <c r="E42" s="7" t="n"/>
      <c r="F42" s="7" t="n"/>
      <c r="G42" s="8" t="n"/>
      <c r="H42" s="8" t="n"/>
      <c r="I42" s="7" t="n"/>
      <c r="J42" s="7" t="n"/>
      <c r="K42" s="7" t="n"/>
      <c r="L42" s="9" t="n"/>
      <c r="M42" s="9" t="n"/>
      <c r="N42" s="9" t="n"/>
      <c r="O42" s="10">
        <f>IF(OR(G42="",H42=""),"",G42*H42)</f>
        <v/>
      </c>
      <c r="P42" s="11">
        <f>IF(O42="","",IF(O42&gt;=$U$6,"High",IF(O42&gt;=$U$7,"Medium","Low")))</f>
        <v/>
      </c>
      <c r="Q42" s="11">
        <f>IF(OR(O42="",K42="Closed"),"",1+COUNTIFS($O$6:$O$55,"&gt;"&amp;O42,$K$6:$K$55,"&lt;&gt;Closed"))</f>
        <v/>
      </c>
      <c r="R42" s="11">
        <f>IF(OR(N42="",K42="Closed"),"",IF(N42&lt;TODAY(),"Overdue",""))</f>
        <v/>
      </c>
    </row>
    <row r="43">
      <c r="A43" s="7" t="n"/>
      <c r="B43" s="7" t="n"/>
      <c r="C43" s="7" t="n"/>
      <c r="D43" s="7" t="n"/>
      <c r="E43" s="7" t="n"/>
      <c r="F43" s="7" t="n"/>
      <c r="G43" s="8" t="n"/>
      <c r="H43" s="8" t="n"/>
      <c r="I43" s="7" t="n"/>
      <c r="J43" s="7" t="n"/>
      <c r="K43" s="7" t="n"/>
      <c r="L43" s="9" t="n"/>
      <c r="M43" s="9" t="n"/>
      <c r="N43" s="9" t="n"/>
      <c r="O43" s="10">
        <f>IF(OR(G43="",H43=""),"",G43*H43)</f>
        <v/>
      </c>
      <c r="P43" s="11">
        <f>IF(O43="","",IF(O43&gt;=$U$6,"High",IF(O43&gt;=$U$7,"Medium","Low")))</f>
        <v/>
      </c>
      <c r="Q43" s="11">
        <f>IF(OR(O43="",K43="Closed"),"",1+COUNTIFS($O$6:$O$55,"&gt;"&amp;O43,$K$6:$K$55,"&lt;&gt;Closed"))</f>
        <v/>
      </c>
      <c r="R43" s="11">
        <f>IF(OR(N43="",K43="Closed"),"",IF(N43&lt;TODAY(),"Overdue",""))</f>
        <v/>
      </c>
    </row>
    <row r="44">
      <c r="A44" s="7" t="n"/>
      <c r="B44" s="7" t="n"/>
      <c r="C44" s="7" t="n"/>
      <c r="D44" s="7" t="n"/>
      <c r="E44" s="7" t="n"/>
      <c r="F44" s="7" t="n"/>
      <c r="G44" s="8" t="n"/>
      <c r="H44" s="8" t="n"/>
      <c r="I44" s="7" t="n"/>
      <c r="J44" s="7" t="n"/>
      <c r="K44" s="7" t="n"/>
      <c r="L44" s="9" t="n"/>
      <c r="M44" s="9" t="n"/>
      <c r="N44" s="9" t="n"/>
      <c r="O44" s="10">
        <f>IF(OR(G44="",H44=""),"",G44*H44)</f>
        <v/>
      </c>
      <c r="P44" s="11">
        <f>IF(O44="","",IF(O44&gt;=$U$6,"High",IF(O44&gt;=$U$7,"Medium","Low")))</f>
        <v/>
      </c>
      <c r="Q44" s="11">
        <f>IF(OR(O44="",K44="Closed"),"",1+COUNTIFS($O$6:$O$55,"&gt;"&amp;O44,$K$6:$K$55,"&lt;&gt;Closed"))</f>
        <v/>
      </c>
      <c r="R44" s="11">
        <f>IF(OR(N44="",K44="Closed"),"",IF(N44&lt;TODAY(),"Overdue",""))</f>
        <v/>
      </c>
    </row>
    <row r="45">
      <c r="A45" s="7" t="n"/>
      <c r="B45" s="7" t="n"/>
      <c r="C45" s="7" t="n"/>
      <c r="D45" s="7" t="n"/>
      <c r="E45" s="7" t="n"/>
      <c r="F45" s="7" t="n"/>
      <c r="G45" s="8" t="n"/>
      <c r="H45" s="8" t="n"/>
      <c r="I45" s="7" t="n"/>
      <c r="J45" s="7" t="n"/>
      <c r="K45" s="7" t="n"/>
      <c r="L45" s="9" t="n"/>
      <c r="M45" s="9" t="n"/>
      <c r="N45" s="9" t="n"/>
      <c r="O45" s="10">
        <f>IF(OR(G45="",H45=""),"",G45*H45)</f>
        <v/>
      </c>
      <c r="P45" s="11">
        <f>IF(O45="","",IF(O45&gt;=$U$6,"High",IF(O45&gt;=$U$7,"Medium","Low")))</f>
        <v/>
      </c>
      <c r="Q45" s="11">
        <f>IF(OR(O45="",K45="Closed"),"",1+COUNTIFS($O$6:$O$55,"&gt;"&amp;O45,$K$6:$K$55,"&lt;&gt;Closed"))</f>
        <v/>
      </c>
      <c r="R45" s="11">
        <f>IF(OR(N45="",K45="Closed"),"",IF(N45&lt;TODAY(),"Overdue",""))</f>
        <v/>
      </c>
    </row>
    <row r="46">
      <c r="A46" s="7" t="n"/>
      <c r="B46" s="7" t="n"/>
      <c r="C46" s="7" t="n"/>
      <c r="D46" s="7" t="n"/>
      <c r="E46" s="7" t="n"/>
      <c r="F46" s="7" t="n"/>
      <c r="G46" s="8" t="n"/>
      <c r="H46" s="8" t="n"/>
      <c r="I46" s="7" t="n"/>
      <c r="J46" s="7" t="n"/>
      <c r="K46" s="7" t="n"/>
      <c r="L46" s="9" t="n"/>
      <c r="M46" s="9" t="n"/>
      <c r="N46" s="9" t="n"/>
      <c r="O46" s="10">
        <f>IF(OR(G46="",H46=""),"",G46*H46)</f>
        <v/>
      </c>
      <c r="P46" s="11">
        <f>IF(O46="","",IF(O46&gt;=$U$6,"High",IF(O46&gt;=$U$7,"Medium","Low")))</f>
        <v/>
      </c>
      <c r="Q46" s="11">
        <f>IF(OR(O46="",K46="Closed"),"",1+COUNTIFS($O$6:$O$55,"&gt;"&amp;O46,$K$6:$K$55,"&lt;&gt;Closed"))</f>
        <v/>
      </c>
      <c r="R46" s="11">
        <f>IF(OR(N46="",K46="Closed"),"",IF(N46&lt;TODAY(),"Overdue",""))</f>
        <v/>
      </c>
    </row>
    <row r="47">
      <c r="A47" s="7" t="n"/>
      <c r="B47" s="7" t="n"/>
      <c r="C47" s="7" t="n"/>
      <c r="D47" s="7" t="n"/>
      <c r="E47" s="7" t="n"/>
      <c r="F47" s="7" t="n"/>
      <c r="G47" s="8" t="n"/>
      <c r="H47" s="8" t="n"/>
      <c r="I47" s="7" t="n"/>
      <c r="J47" s="7" t="n"/>
      <c r="K47" s="7" t="n"/>
      <c r="L47" s="9" t="n"/>
      <c r="M47" s="9" t="n"/>
      <c r="N47" s="9" t="n"/>
      <c r="O47" s="10">
        <f>IF(OR(G47="",H47=""),"",G47*H47)</f>
        <v/>
      </c>
      <c r="P47" s="11">
        <f>IF(O47="","",IF(O47&gt;=$U$6,"High",IF(O47&gt;=$U$7,"Medium","Low")))</f>
        <v/>
      </c>
      <c r="Q47" s="11">
        <f>IF(OR(O47="",K47="Closed"),"",1+COUNTIFS($O$6:$O$55,"&gt;"&amp;O47,$K$6:$K$55,"&lt;&gt;Closed"))</f>
        <v/>
      </c>
      <c r="R47" s="11">
        <f>IF(OR(N47="",K47="Closed"),"",IF(N47&lt;TODAY(),"Overdue",""))</f>
        <v/>
      </c>
    </row>
    <row r="48">
      <c r="A48" s="7" t="n"/>
      <c r="B48" s="7" t="n"/>
      <c r="C48" s="7" t="n"/>
      <c r="D48" s="7" t="n"/>
      <c r="E48" s="7" t="n"/>
      <c r="F48" s="7" t="n"/>
      <c r="G48" s="8" t="n"/>
      <c r="H48" s="8" t="n"/>
      <c r="I48" s="7" t="n"/>
      <c r="J48" s="7" t="n"/>
      <c r="K48" s="7" t="n"/>
      <c r="L48" s="9" t="n"/>
      <c r="M48" s="9" t="n"/>
      <c r="N48" s="9" t="n"/>
      <c r="O48" s="10">
        <f>IF(OR(G48="",H48=""),"",G48*H48)</f>
        <v/>
      </c>
      <c r="P48" s="11">
        <f>IF(O48="","",IF(O48&gt;=$U$6,"High",IF(O48&gt;=$U$7,"Medium","Low")))</f>
        <v/>
      </c>
      <c r="Q48" s="11">
        <f>IF(OR(O48="",K48="Closed"),"",1+COUNTIFS($O$6:$O$55,"&gt;"&amp;O48,$K$6:$K$55,"&lt;&gt;Closed"))</f>
        <v/>
      </c>
      <c r="R48" s="11">
        <f>IF(OR(N48="",K48="Closed"),"",IF(N48&lt;TODAY(),"Overdue",""))</f>
        <v/>
      </c>
    </row>
    <row r="49">
      <c r="A49" s="7" t="n"/>
      <c r="B49" s="7" t="n"/>
      <c r="C49" s="7" t="n"/>
      <c r="D49" s="7" t="n"/>
      <c r="E49" s="7" t="n"/>
      <c r="F49" s="7" t="n"/>
      <c r="G49" s="8" t="n"/>
      <c r="H49" s="8" t="n"/>
      <c r="I49" s="7" t="n"/>
      <c r="J49" s="7" t="n"/>
      <c r="K49" s="7" t="n"/>
      <c r="L49" s="9" t="n"/>
      <c r="M49" s="9" t="n"/>
      <c r="N49" s="9" t="n"/>
      <c r="O49" s="10">
        <f>IF(OR(G49="",H49=""),"",G49*H49)</f>
        <v/>
      </c>
      <c r="P49" s="11">
        <f>IF(O49="","",IF(O49&gt;=$U$6,"High",IF(O49&gt;=$U$7,"Medium","Low")))</f>
        <v/>
      </c>
      <c r="Q49" s="11">
        <f>IF(OR(O49="",K49="Closed"),"",1+COUNTIFS($O$6:$O$55,"&gt;"&amp;O49,$K$6:$K$55,"&lt;&gt;Closed"))</f>
        <v/>
      </c>
      <c r="R49" s="11">
        <f>IF(OR(N49="",K49="Closed"),"",IF(N49&lt;TODAY(),"Overdue",""))</f>
        <v/>
      </c>
    </row>
    <row r="50">
      <c r="A50" s="7" t="n"/>
      <c r="B50" s="7" t="n"/>
      <c r="C50" s="7" t="n"/>
      <c r="D50" s="7" t="n"/>
      <c r="E50" s="7" t="n"/>
      <c r="F50" s="7" t="n"/>
      <c r="G50" s="8" t="n"/>
      <c r="H50" s="8" t="n"/>
      <c r="I50" s="7" t="n"/>
      <c r="J50" s="7" t="n"/>
      <c r="K50" s="7" t="n"/>
      <c r="L50" s="9" t="n"/>
      <c r="M50" s="9" t="n"/>
      <c r="N50" s="9" t="n"/>
      <c r="O50" s="10">
        <f>IF(OR(G50="",H50=""),"",G50*H50)</f>
        <v/>
      </c>
      <c r="P50" s="11">
        <f>IF(O50="","",IF(O50&gt;=$U$6,"High",IF(O50&gt;=$U$7,"Medium","Low")))</f>
        <v/>
      </c>
      <c r="Q50" s="11">
        <f>IF(OR(O50="",K50="Closed"),"",1+COUNTIFS($O$6:$O$55,"&gt;"&amp;O50,$K$6:$K$55,"&lt;&gt;Closed"))</f>
        <v/>
      </c>
      <c r="R50" s="11">
        <f>IF(OR(N50="",K50="Closed"),"",IF(N50&lt;TODAY(),"Overdue",""))</f>
        <v/>
      </c>
    </row>
    <row r="51">
      <c r="A51" s="7" t="n"/>
      <c r="B51" s="7" t="n"/>
      <c r="C51" s="7" t="n"/>
      <c r="D51" s="7" t="n"/>
      <c r="E51" s="7" t="n"/>
      <c r="F51" s="7" t="n"/>
      <c r="G51" s="8" t="n"/>
      <c r="H51" s="8" t="n"/>
      <c r="I51" s="7" t="n"/>
      <c r="J51" s="7" t="n"/>
      <c r="K51" s="7" t="n"/>
      <c r="L51" s="9" t="n"/>
      <c r="M51" s="9" t="n"/>
      <c r="N51" s="9" t="n"/>
      <c r="O51" s="10">
        <f>IF(OR(G51="",H51=""),"",G51*H51)</f>
        <v/>
      </c>
      <c r="P51" s="11">
        <f>IF(O51="","",IF(O51&gt;=$U$6,"High",IF(O51&gt;=$U$7,"Medium","Low")))</f>
        <v/>
      </c>
      <c r="Q51" s="11">
        <f>IF(OR(O51="",K51="Closed"),"",1+COUNTIFS($O$6:$O$55,"&gt;"&amp;O51,$K$6:$K$55,"&lt;&gt;Closed"))</f>
        <v/>
      </c>
      <c r="R51" s="11">
        <f>IF(OR(N51="",K51="Closed"),"",IF(N51&lt;TODAY(),"Overdue",""))</f>
        <v/>
      </c>
    </row>
    <row r="52">
      <c r="A52" s="7" t="n"/>
      <c r="B52" s="7" t="n"/>
      <c r="C52" s="7" t="n"/>
      <c r="D52" s="7" t="n"/>
      <c r="E52" s="7" t="n"/>
      <c r="F52" s="7" t="n"/>
      <c r="G52" s="8" t="n"/>
      <c r="H52" s="8" t="n"/>
      <c r="I52" s="7" t="n"/>
      <c r="J52" s="7" t="n"/>
      <c r="K52" s="7" t="n"/>
      <c r="L52" s="9" t="n"/>
      <c r="M52" s="9" t="n"/>
      <c r="N52" s="9" t="n"/>
      <c r="O52" s="10">
        <f>IF(OR(G52="",H52=""),"",G52*H52)</f>
        <v/>
      </c>
      <c r="P52" s="11">
        <f>IF(O52="","",IF(O52&gt;=$U$6,"High",IF(O52&gt;=$U$7,"Medium","Low")))</f>
        <v/>
      </c>
      <c r="Q52" s="11">
        <f>IF(OR(O52="",K52="Closed"),"",1+COUNTIFS($O$6:$O$55,"&gt;"&amp;O52,$K$6:$K$55,"&lt;&gt;Closed"))</f>
        <v/>
      </c>
      <c r="R52" s="11">
        <f>IF(OR(N52="",K52="Closed"),"",IF(N52&lt;TODAY(),"Overdue",""))</f>
        <v/>
      </c>
    </row>
    <row r="53">
      <c r="A53" s="7" t="n"/>
      <c r="B53" s="7" t="n"/>
      <c r="C53" s="7" t="n"/>
      <c r="D53" s="7" t="n"/>
      <c r="E53" s="7" t="n"/>
      <c r="F53" s="7" t="n"/>
      <c r="G53" s="8" t="n"/>
      <c r="H53" s="8" t="n"/>
      <c r="I53" s="7" t="n"/>
      <c r="J53" s="7" t="n"/>
      <c r="K53" s="7" t="n"/>
      <c r="L53" s="9" t="n"/>
      <c r="M53" s="9" t="n"/>
      <c r="N53" s="9" t="n"/>
      <c r="O53" s="10">
        <f>IF(OR(G53="",H53=""),"",G53*H53)</f>
        <v/>
      </c>
      <c r="P53" s="11">
        <f>IF(O53="","",IF(O53&gt;=$U$6,"High",IF(O53&gt;=$U$7,"Medium","Low")))</f>
        <v/>
      </c>
      <c r="Q53" s="11">
        <f>IF(OR(O53="",K53="Closed"),"",1+COUNTIFS($O$6:$O$55,"&gt;"&amp;O53,$K$6:$K$55,"&lt;&gt;Closed"))</f>
        <v/>
      </c>
      <c r="R53" s="11">
        <f>IF(OR(N53="",K53="Closed"),"",IF(N53&lt;TODAY(),"Overdue",""))</f>
        <v/>
      </c>
    </row>
    <row r="54">
      <c r="A54" s="7" t="n"/>
      <c r="B54" s="7" t="n"/>
      <c r="C54" s="7" t="n"/>
      <c r="D54" s="7" t="n"/>
      <c r="E54" s="7" t="n"/>
      <c r="F54" s="7" t="n"/>
      <c r="G54" s="8" t="n"/>
      <c r="H54" s="8" t="n"/>
      <c r="I54" s="7" t="n"/>
      <c r="J54" s="7" t="n"/>
      <c r="K54" s="7" t="n"/>
      <c r="L54" s="9" t="n"/>
      <c r="M54" s="9" t="n"/>
      <c r="N54" s="9" t="n"/>
      <c r="O54" s="10">
        <f>IF(OR(G54="",H54=""),"",G54*H54)</f>
        <v/>
      </c>
      <c r="P54" s="11">
        <f>IF(O54="","",IF(O54&gt;=$U$6,"High",IF(O54&gt;=$U$7,"Medium","Low")))</f>
        <v/>
      </c>
      <c r="Q54" s="11">
        <f>IF(OR(O54="",K54="Closed"),"",1+COUNTIFS($O$6:$O$55,"&gt;"&amp;O54,$K$6:$K$55,"&lt;&gt;Closed"))</f>
        <v/>
      </c>
      <c r="R54" s="11">
        <f>IF(OR(N54="",K54="Closed"),"",IF(N54&lt;TODAY(),"Overdue",""))</f>
        <v/>
      </c>
    </row>
    <row r="55">
      <c r="A55" s="7" t="n"/>
      <c r="B55" s="7" t="n"/>
      <c r="C55" s="7" t="n"/>
      <c r="D55" s="7" t="n"/>
      <c r="E55" s="7" t="n"/>
      <c r="F55" s="7" t="n"/>
      <c r="G55" s="8" t="n"/>
      <c r="H55" s="8" t="n"/>
      <c r="I55" s="7" t="n"/>
      <c r="J55" s="7" t="n"/>
      <c r="K55" s="7" t="n"/>
      <c r="L55" s="9" t="n"/>
      <c r="M55" s="9" t="n"/>
      <c r="N55" s="9" t="n"/>
      <c r="O55" s="10">
        <f>IF(OR(G55="",H55=""),"",G55*H55)</f>
        <v/>
      </c>
      <c r="P55" s="11">
        <f>IF(O55="","",IF(O55&gt;=$U$6,"High",IF(O55&gt;=$U$7,"Medium","Low")))</f>
        <v/>
      </c>
      <c r="Q55" s="11">
        <f>IF(OR(O55="",K55="Closed"),"",1+COUNTIFS($O$6:$O$55,"&gt;"&amp;O55,$K$6:$K$55,"&lt;&gt;Closed"))</f>
        <v/>
      </c>
      <c r="R55" s="11">
        <f>IF(OR(N55="",K55="Closed"),"",IF(N55&lt;TODAY(),"Overdue",""))</f>
        <v/>
      </c>
    </row>
  </sheetData>
  <mergeCells count="3">
    <mergeCell ref="C3:N3"/>
    <mergeCell ref="C2:N2"/>
    <mergeCell ref="A1:R1"/>
  </mergeCells>
  <conditionalFormatting sqref="P6:P55">
    <cfRule type="cellIs" priority="1" operator="equal" dxfId="0">
      <formula>"High"</formula>
    </cfRule>
    <cfRule type="cellIs" priority="2" operator="equal" dxfId="1">
      <formula>"Medium"</formula>
    </cfRule>
    <cfRule type="cellIs" priority="3" operator="equal" dxfId="2">
      <formula>"Low"</formula>
    </cfRule>
  </conditionalFormatting>
  <conditionalFormatting sqref="R6:R55">
    <cfRule type="cellIs" priority="4" operator="equal" dxfId="3">
      <formula>"Overdue"</formula>
    </cfRule>
  </conditionalFormatting>
  <dataValidations count="5">
    <dataValidation sqref="G6:H55" showDropDown="0" showInputMessage="0" showErrorMessage="1" allowBlank="1" errorTitle="Scale" error="Use a whole number from 1 to 5" type="whole" errorStyle="stop" operator="between">
      <formula1>1</formula1>
      <formula2>5</formula2>
    </dataValidation>
    <dataValidation sqref="I6:I55" showDropDown="0" showInputMessage="0" showErrorMessage="1" allowBlank="1" errorTitle="Response type" error="Accept, Transfer, Mitigate, Avoid (opportunities: Realize, Share, Enhance)" type="list" errorStyle="stop">
      <formula1>"Accept,Transfer,Mitigate,Avoid,Realize,Share,Enhance"</formula1>
    </dataValidation>
    <dataValidation sqref="K6:K55" showDropDown="0" showInputMessage="0" showErrorMessage="1" allowBlank="1" errorTitle="Status" error="Open, In progress or Closed" type="list" errorStyle="stop">
      <formula1>"Open,In progress,Closed"</formula1>
    </dataValidation>
    <dataValidation sqref="L6:N55" showDropDown="0" showInputMessage="0" showErrorMessage="1" allowBlank="1" errorTitle="Date" error="Enter a date" type="date" errorStyle="stop" operator="greaterThan">
      <formula1>36526</formula1>
    </dataValidation>
    <dataValidation sqref="U6:U7" showDropDown="0" showInputMessage="0" showErrorMessage="1" allowBlank="1" errorTitle="Band" error="Use a whole number from 1 to 25" type="whole" errorStyle="stop" operator="between">
      <formula1>1</formula1>
      <formula2>25</formula2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2026-10-28T12:33:22Z</dcterms:created>
  <dcterms:modified xmlns:dcterms="http://purl.org/dc/terms/" xmlns:xsi="http://www.w3.org/2001/XMLSchema-instance" xsi:type="dcterms:W3CDTF">2026-10-28T12:33:22Z</dcterms:modified>
</cp:coreProperties>
</file>