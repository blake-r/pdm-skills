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gh" sheetId="1" state="visible" r:id="rId1"/>
  </sheets>
  <definedNames>
    <definedName name="data_start">Pugh!$A$5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;-0.##;;@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11"/>
    </font>
    <font>
      <name val="Arial"/>
      <b val="1"/>
      <sz val="11"/>
    </font>
    <font>
      <name val="Arial"/>
      <sz val="11"/>
    </font>
    <font>
      <name val="Arial"/>
      <i val="1"/>
      <color rgb="006B7280"/>
      <sz val="10"/>
    </font>
  </fonts>
  <fills count="4">
    <fill>
      <patternFill/>
    </fill>
    <fill>
      <patternFill patternType="gray125"/>
    </fill>
    <fill>
      <patternFill patternType="solid">
        <fgColor rgb="00E8F0FC"/>
      </patternFill>
    </fill>
    <fill>
      <patternFill patternType="solid">
        <fgColor rgb="00F3F4F6"/>
      </patternFill>
    </fill>
  </fills>
  <borders count="4">
    <border>
      <left/>
      <right/>
      <top/>
      <bottom/>
      <diagonal/>
    </border>
    <border>
      <bottom style="thin">
        <color rgb="00C9CED6"/>
      </bottom>
    </border>
    <border>
      <top style="thin">
        <color rgb="00C9CED6"/>
      </top>
    </border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49" fontId="4" fillId="3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164" fontId="2" fillId="0" borderId="0" pivotButton="0" quotePrefix="0" xfId="0"/>
    <xf numFmtId="0" fontId="3" fillId="0" borderId="2" pivotButton="0" quotePrefix="0" xfId="0"/>
    <xf numFmtId="0" fontId="0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3" pivotButton="0" quotePrefix="0" xfId="0"/>
    <xf numFmtId="0" fontId="0" fillId="0" borderId="3" pivotButton="0" quotePrefix="0" xfId="0"/>
    <xf numFmtId="0" fontId="4" fillId="0" borderId="3" applyAlignment="1" pivotButton="0" quotePrefix="0" xfId="0">
      <alignment horizontal="center" vertical="center"/>
    </xf>
    <xf numFmtId="0" fontId="5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pdm-skills</author>
  </authors>
  <commentList>
    <comment ref="A4" authorId="0" shapeId="0">
      <text>
        <t>Criterion: one clear requirement per row, defined so that two people mark it the same way</t>
      </text>
    </comment>
    <comment ref="B4" authorId="0" shapeId="0">
      <text>
        <t>Importance: Pugh grades criteria in three categories (important, moderately important, desirable), not numerically. Enter High, Medium or Low. A number is accepted for the later-practice weighted net only. Agree before marking.</t>
      </text>
    </comment>
    <comment ref="C4" authorId="0" shapeId="0">
      <text>
        <t>Datum: the reference every alternative is compared with. Its column is always S.</t>
      </text>
    </comment>
    <comment ref="D4" authorId="0" shapeId="0">
      <text>
        <t>Alternative 1: mark each criterion + (better than the datum), S (same) or - (worse)</t>
      </text>
    </comment>
    <comment ref="E4" authorId="0" shapeId="0">
      <text>
        <t>Alternative 2: mark each criterion + (better than the datum), S (same) or - (worse)</t>
      </text>
    </comment>
    <comment ref="F4" authorId="0" shapeId="0">
      <text>
        <t>Alternative 3: mark each criterion + (better than the datum), S (same) or - (worse)</t>
      </text>
    </comment>
    <comment ref="G4" authorId="0" shapeId="0">
      <text>
        <t>Alternative 4: mark each criterion + (better than the datum), S (same) or - (worse)</t>
      </text>
    </comment>
    <comment ref="H4" authorId="0" shapeId="0">
      <text>
        <t>Alternative 5: mark each criterion + (better than the datum), S (same) or - (worse)</t>
      </text>
    </comment>
    <comment ref="I4" authorId="0" shapeId="0">
      <text>
        <t>Alternative 6: mark each criterion + (better than the datum), S (same) or - (worse)</t>
      </text>
    </comment>
    <comment ref="J4" authorId="0" shapeId="0">
      <text>
        <t>Alternative 7: mark each criterion + (better than the datum), S (same) or - (worse)</t>
      </text>
    </comment>
    <comment ref="K4" authorId="0" shapeId="0">
      <text>
        <t>Alternative 8: mark each criterion + (better than the datum), S (same) or - (worse)</t>
      </text>
    </comment>
    <comment ref="L4" authorId="0" shapeId="0">
      <text>
        <t>Calculated automatically, for the later-practice weighted net only: High 3, Medium 2, Low 1, a typed number as is, 1 if blank; 0 on empty rows.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0" customWidth="1" min="12" max="12"/>
  </cols>
  <sheetData>
    <row r="1">
      <c r="A1" s="1" t="inlineStr">
        <is>
          <t>Pugh Matrix: {{title: the decision and the product, in one line}}</t>
        </is>
      </c>
    </row>
    <row r="2">
      <c r="A2" s="2" t="inlineStr">
        <is>
          <t>Mark every alternative against the datum, criterion by criterion: + better, S same, - worse. The counts below are the result; Pugh says the marks must not be summed as absolute scores. Importance (High, Medium, Low) is optional.</t>
        </is>
      </c>
    </row>
    <row r="4" ht="62" customHeight="1">
      <c r="A4" s="3" t="inlineStr">
        <is>
          <t>Criterion</t>
        </is>
      </c>
      <c r="B4" s="4" t="inlineStr">
        <is>
          <t>Importance
(optional)</t>
        </is>
      </c>
      <c r="C4" s="4" t="inlineStr">
        <is>
          <t>Datum: {{datum: baseline alternative: the current solution or the strongest known one}}</t>
        </is>
      </c>
      <c r="D4" s="4" t="inlineStr">
        <is>
          <t>{{alt1: alternative 1, described at the same level of detail}}</t>
        </is>
      </c>
      <c r="E4" s="4" t="inlineStr">
        <is>
          <t>{{alt2: alternative 2, described at the same level of detail}}</t>
        </is>
      </c>
      <c r="F4" s="4" t="inlineStr">
        <is>
          <t>{{alt3: alternative 3, described at the same level of detail}}</t>
        </is>
      </c>
      <c r="G4" s="4" t="inlineStr">
        <is>
          <t>{{alt4: alternative 4, described at the same level of detail}}</t>
        </is>
      </c>
      <c r="H4" s="4" t="inlineStr">
        <is>
          <t>{{alt5: alternative 5, described at the same level of detail}}</t>
        </is>
      </c>
      <c r="I4" s="4" t="inlineStr">
        <is>
          <t>{{alt6: alternative 6, described at the same level of detail}}</t>
        </is>
      </c>
      <c r="J4" s="4" t="inlineStr">
        <is>
          <t>{{alt7: alternative 7, described at the same level of detail}}</t>
        </is>
      </c>
      <c r="K4" s="4" t="inlineStr">
        <is>
          <t>{{alt8: alternative 8, described at the same level of detail}}</t>
        </is>
      </c>
      <c r="L4" s="4" t="inlineStr">
        <is>
          <t>Weight
used</t>
        </is>
      </c>
    </row>
    <row r="5">
      <c r="A5" s="5" t="n"/>
      <c r="B5" s="6" t="n"/>
      <c r="C5" s="7" t="n"/>
      <c r="D5" s="8" t="n"/>
      <c r="E5" s="8" t="n"/>
      <c r="F5" s="8" t="n"/>
      <c r="G5" s="8" t="n"/>
      <c r="H5" s="8" t="n"/>
      <c r="I5" s="8" t="n"/>
      <c r="J5" s="8" t="n"/>
      <c r="K5" s="8" t="n"/>
      <c r="L5" s="9">
        <f>IF(A5="",0,IF(B5="High",3,IF(B5="Medium",2,IF(B5="Low",1,IF(ISNUMBER(B5),B5,1)))))</f>
        <v/>
      </c>
    </row>
    <row r="6">
      <c r="A6" s="5" t="n"/>
      <c r="B6" s="6" t="n"/>
      <c r="C6" s="7" t="n"/>
      <c r="D6" s="8" t="n"/>
      <c r="E6" s="8" t="n"/>
      <c r="F6" s="8" t="n"/>
      <c r="G6" s="8" t="n"/>
      <c r="H6" s="8" t="n"/>
      <c r="I6" s="8" t="n"/>
      <c r="J6" s="8" t="n"/>
      <c r="K6" s="8" t="n"/>
      <c r="L6" s="9">
        <f>IF(A6="",0,IF(B6="High",3,IF(B6="Medium",2,IF(B6="Low",1,IF(ISNUMBER(B6),B6,1)))))</f>
        <v/>
      </c>
    </row>
    <row r="7">
      <c r="A7" s="5" t="n"/>
      <c r="B7" s="6" t="n"/>
      <c r="C7" s="7" t="n"/>
      <c r="D7" s="8" t="n"/>
      <c r="E7" s="8" t="n"/>
      <c r="F7" s="8" t="n"/>
      <c r="G7" s="8" t="n"/>
      <c r="H7" s="8" t="n"/>
      <c r="I7" s="8" t="n"/>
      <c r="J7" s="8" t="n"/>
      <c r="K7" s="8" t="n"/>
      <c r="L7" s="9">
        <f>IF(A7="",0,IF(B7="High",3,IF(B7="Medium",2,IF(B7="Low",1,IF(ISNUMBER(B7),B7,1)))))</f>
        <v/>
      </c>
    </row>
    <row r="8">
      <c r="A8" s="5" t="n"/>
      <c r="B8" s="6" t="n"/>
      <c r="C8" s="7" t="n"/>
      <c r="D8" s="8" t="n"/>
      <c r="E8" s="8" t="n"/>
      <c r="F8" s="8" t="n"/>
      <c r="G8" s="8" t="n"/>
      <c r="H8" s="8" t="n"/>
      <c r="I8" s="8" t="n"/>
      <c r="J8" s="8" t="n"/>
      <c r="K8" s="8" t="n"/>
      <c r="L8" s="9">
        <f>IF(A8="",0,IF(B8="High",3,IF(B8="Medium",2,IF(B8="Low",1,IF(ISNUMBER(B8),B8,1)))))</f>
        <v/>
      </c>
    </row>
    <row r="9">
      <c r="A9" s="5" t="n"/>
      <c r="B9" s="6" t="n"/>
      <c r="C9" s="7" t="n"/>
      <c r="D9" s="8" t="n"/>
      <c r="E9" s="8" t="n"/>
      <c r="F9" s="8" t="n"/>
      <c r="G9" s="8" t="n"/>
      <c r="H9" s="8" t="n"/>
      <c r="I9" s="8" t="n"/>
      <c r="J9" s="8" t="n"/>
      <c r="K9" s="8" t="n"/>
      <c r="L9" s="9">
        <f>IF(A9="",0,IF(B9="High",3,IF(B9="Medium",2,IF(B9="Low",1,IF(ISNUMBER(B9),B9,1)))))</f>
        <v/>
      </c>
    </row>
    <row r="10">
      <c r="A10" s="5" t="n"/>
      <c r="B10" s="6" t="n"/>
      <c r="C10" s="7" t="n"/>
      <c r="D10" s="8" t="n"/>
      <c r="E10" s="8" t="n"/>
      <c r="F10" s="8" t="n"/>
      <c r="G10" s="8" t="n"/>
      <c r="H10" s="8" t="n"/>
      <c r="I10" s="8" t="n"/>
      <c r="J10" s="8" t="n"/>
      <c r="K10" s="8" t="n"/>
      <c r="L10" s="9">
        <f>IF(A10="",0,IF(B10="High",3,IF(B10="Medium",2,IF(B10="Low",1,IF(ISNUMBER(B10),B10,1)))))</f>
        <v/>
      </c>
    </row>
    <row r="11">
      <c r="A11" s="5" t="n"/>
      <c r="B11" s="6" t="n"/>
      <c r="C11" s="7" t="n"/>
      <c r="D11" s="8" t="n"/>
      <c r="E11" s="8" t="n"/>
      <c r="F11" s="8" t="n"/>
      <c r="G11" s="8" t="n"/>
      <c r="H11" s="8" t="n"/>
      <c r="I11" s="8" t="n"/>
      <c r="J11" s="8" t="n"/>
      <c r="K11" s="8" t="n"/>
      <c r="L11" s="9">
        <f>IF(A11="",0,IF(B11="High",3,IF(B11="Medium",2,IF(B11="Low",1,IF(ISNUMBER(B11),B11,1)))))</f>
        <v/>
      </c>
    </row>
    <row r="12">
      <c r="A12" s="5" t="n"/>
      <c r="B12" s="6" t="n"/>
      <c r="C12" s="7" t="n"/>
      <c r="D12" s="8" t="n"/>
      <c r="E12" s="8" t="n"/>
      <c r="F12" s="8" t="n"/>
      <c r="G12" s="8" t="n"/>
      <c r="H12" s="8" t="n"/>
      <c r="I12" s="8" t="n"/>
      <c r="J12" s="8" t="n"/>
      <c r="K12" s="8" t="n"/>
      <c r="L12" s="9">
        <f>IF(A12="",0,IF(B12="High",3,IF(B12="Medium",2,IF(B12="Low",1,IF(ISNUMBER(B12),B12,1)))))</f>
        <v/>
      </c>
    </row>
    <row r="13">
      <c r="A13" s="5" t="n"/>
      <c r="B13" s="6" t="n"/>
      <c r="C13" s="7" t="n"/>
      <c r="D13" s="8" t="n"/>
      <c r="E13" s="8" t="n"/>
      <c r="F13" s="8" t="n"/>
      <c r="G13" s="8" t="n"/>
      <c r="H13" s="8" t="n"/>
      <c r="I13" s="8" t="n"/>
      <c r="J13" s="8" t="n"/>
      <c r="K13" s="8" t="n"/>
      <c r="L13" s="9">
        <f>IF(A13="",0,IF(B13="High",3,IF(B13="Medium",2,IF(B13="Low",1,IF(ISNUMBER(B13),B13,1)))))</f>
        <v/>
      </c>
    </row>
    <row r="14">
      <c r="A14" s="5" t="n"/>
      <c r="B14" s="6" t="n"/>
      <c r="C14" s="7" t="n"/>
      <c r="D14" s="8" t="n"/>
      <c r="E14" s="8" t="n"/>
      <c r="F14" s="8" t="n"/>
      <c r="G14" s="8" t="n"/>
      <c r="H14" s="8" t="n"/>
      <c r="I14" s="8" t="n"/>
      <c r="J14" s="8" t="n"/>
      <c r="K14" s="8" t="n"/>
      <c r="L14" s="9">
        <f>IF(A14="",0,IF(B14="High",3,IF(B14="Medium",2,IF(B14="Low",1,IF(ISNUMBER(B14),B14,1)))))</f>
        <v/>
      </c>
    </row>
    <row r="15">
      <c r="A15" s="5" t="n"/>
      <c r="B15" s="6" t="n"/>
      <c r="C15" s="7" t="n"/>
      <c r="D15" s="8" t="n"/>
      <c r="E15" s="8" t="n"/>
      <c r="F15" s="8" t="n"/>
      <c r="G15" s="8" t="n"/>
      <c r="H15" s="8" t="n"/>
      <c r="I15" s="8" t="n"/>
      <c r="J15" s="8" t="n"/>
      <c r="K15" s="8" t="n"/>
      <c r="L15" s="9">
        <f>IF(A15="",0,IF(B15="High",3,IF(B15="Medium",2,IF(B15="Low",1,IF(ISNUMBER(B15),B15,1)))))</f>
        <v/>
      </c>
    </row>
    <row r="16">
      <c r="A16" s="5" t="n"/>
      <c r="B16" s="6" t="n"/>
      <c r="C16" s="7" t="n"/>
      <c r="D16" s="8" t="n"/>
      <c r="E16" s="8" t="n"/>
      <c r="F16" s="8" t="n"/>
      <c r="G16" s="8" t="n"/>
      <c r="H16" s="8" t="n"/>
      <c r="I16" s="8" t="n"/>
      <c r="J16" s="8" t="n"/>
      <c r="K16" s="8" t="n"/>
      <c r="L16" s="9">
        <f>IF(A16="",0,IF(B16="High",3,IF(B16="Medium",2,IF(B16="Low",1,IF(ISNUMBER(B16),B16,1)))))</f>
        <v/>
      </c>
    </row>
    <row r="17">
      <c r="A17" s="5" t="n"/>
      <c r="B17" s="6" t="n"/>
      <c r="C17" s="7" t="n"/>
      <c r="D17" s="8" t="n"/>
      <c r="E17" s="8" t="n"/>
      <c r="F17" s="8" t="n"/>
      <c r="G17" s="8" t="n"/>
      <c r="H17" s="8" t="n"/>
      <c r="I17" s="8" t="n"/>
      <c r="J17" s="8" t="n"/>
      <c r="K17" s="8" t="n"/>
      <c r="L17" s="9">
        <f>IF(A17="",0,IF(B17="High",3,IF(B17="Medium",2,IF(B17="Low",1,IF(ISNUMBER(B17),B17,1)))))</f>
        <v/>
      </c>
    </row>
    <row r="18">
      <c r="A18" s="5" t="n"/>
      <c r="B18" s="6" t="n"/>
      <c r="C18" s="7" t="n"/>
      <c r="D18" s="8" t="n"/>
      <c r="E18" s="8" t="n"/>
      <c r="F18" s="8" t="n"/>
      <c r="G18" s="8" t="n"/>
      <c r="H18" s="8" t="n"/>
      <c r="I18" s="8" t="n"/>
      <c r="J18" s="8" t="n"/>
      <c r="K18" s="8" t="n"/>
      <c r="L18" s="9">
        <f>IF(A18="",0,IF(B18="High",3,IF(B18="Medium",2,IF(B18="Low",1,IF(ISNUMBER(B18),B18,1)))))</f>
        <v/>
      </c>
    </row>
    <row r="19">
      <c r="A19" s="5" t="n"/>
      <c r="B19" s="6" t="n"/>
      <c r="C19" s="7" t="n"/>
      <c r="D19" s="8" t="n"/>
      <c r="E19" s="8" t="n"/>
      <c r="F19" s="8" t="n"/>
      <c r="G19" s="8" t="n"/>
      <c r="H19" s="8" t="n"/>
      <c r="I19" s="8" t="n"/>
      <c r="J19" s="8" t="n"/>
      <c r="K19" s="8" t="n"/>
      <c r="L19" s="9">
        <f>IF(A19="",0,IF(B19="High",3,IF(B19="Medium",2,IF(B19="Low",1,IF(ISNUMBER(B19),B19,1)))))</f>
        <v/>
      </c>
    </row>
    <row r="20">
      <c r="A20" s="5" t="n"/>
      <c r="B20" s="6" t="n"/>
      <c r="C20" s="7" t="n"/>
      <c r="D20" s="8" t="n"/>
      <c r="E20" s="8" t="n"/>
      <c r="F20" s="8" t="n"/>
      <c r="G20" s="8" t="n"/>
      <c r="H20" s="8" t="n"/>
      <c r="I20" s="8" t="n"/>
      <c r="J20" s="8" t="n"/>
      <c r="K20" s="8" t="n"/>
      <c r="L20" s="9">
        <f>IF(A20="",0,IF(B20="High",3,IF(B20="Medium",2,IF(B20="Low",1,IF(ISNUMBER(B20),B20,1)))))</f>
        <v/>
      </c>
    </row>
    <row r="21">
      <c r="A21" s="5" t="n"/>
      <c r="B21" s="6" t="n"/>
      <c r="C21" s="7" t="n"/>
      <c r="D21" s="8" t="n"/>
      <c r="E21" s="8" t="n"/>
      <c r="F21" s="8" t="n"/>
      <c r="G21" s="8" t="n"/>
      <c r="H21" s="8" t="n"/>
      <c r="I21" s="8" t="n"/>
      <c r="J21" s="8" t="n"/>
      <c r="K21" s="8" t="n"/>
      <c r="L21" s="9">
        <f>IF(A21="",0,IF(B21="High",3,IF(B21="Medium",2,IF(B21="Low",1,IF(ISNUMBER(B21),B21,1)))))</f>
        <v/>
      </c>
    </row>
    <row r="22">
      <c r="A22" s="5" t="n"/>
      <c r="B22" s="6" t="n"/>
      <c r="C22" s="7" t="n"/>
      <c r="D22" s="8" t="n"/>
      <c r="E22" s="8" t="n"/>
      <c r="F22" s="8" t="n"/>
      <c r="G22" s="8" t="n"/>
      <c r="H22" s="8" t="n"/>
      <c r="I22" s="8" t="n"/>
      <c r="J22" s="8" t="n"/>
      <c r="K22" s="8" t="n"/>
      <c r="L22" s="9">
        <f>IF(A22="",0,IF(B22="High",3,IF(B22="Medium",2,IF(B22="Low",1,IF(ISNUMBER(B22),B22,1)))))</f>
        <v/>
      </c>
    </row>
    <row r="23">
      <c r="A23" s="5" t="n"/>
      <c r="B23" s="6" t="n"/>
      <c r="C23" s="7" t="n"/>
      <c r="D23" s="8" t="n"/>
      <c r="E23" s="8" t="n"/>
      <c r="F23" s="8" t="n"/>
      <c r="G23" s="8" t="n"/>
      <c r="H23" s="8" t="n"/>
      <c r="I23" s="8" t="n"/>
      <c r="J23" s="8" t="n"/>
      <c r="K23" s="8" t="n"/>
      <c r="L23" s="9">
        <f>IF(A23="",0,IF(B23="High",3,IF(B23="Medium",2,IF(B23="Low",1,IF(ISNUMBER(B23),B23,1)))))</f>
        <v/>
      </c>
    </row>
    <row r="24">
      <c r="A24" s="5" t="n"/>
      <c r="B24" s="6" t="n"/>
      <c r="C24" s="7" t="n"/>
      <c r="D24" s="8" t="n"/>
      <c r="E24" s="8" t="n"/>
      <c r="F24" s="8" t="n"/>
      <c r="G24" s="8" t="n"/>
      <c r="H24" s="8" t="n"/>
      <c r="I24" s="8" t="n"/>
      <c r="J24" s="8" t="n"/>
      <c r="K24" s="8" t="n"/>
      <c r="L24" s="9">
        <f>IF(A24="",0,IF(B24="High",3,IF(B24="Medium",2,IF(B24="Low",1,IF(ISNUMBER(B24),B24,1)))))</f>
        <v/>
      </c>
    </row>
    <row r="25">
      <c r="A25" s="5" t="n"/>
      <c r="B25" s="6" t="n"/>
      <c r="C25" s="7" t="n"/>
      <c r="D25" s="8" t="n"/>
      <c r="E25" s="8" t="n"/>
      <c r="F25" s="8" t="n"/>
      <c r="G25" s="8" t="n"/>
      <c r="H25" s="8" t="n"/>
      <c r="I25" s="8" t="n"/>
      <c r="J25" s="8" t="n"/>
      <c r="K25" s="8" t="n"/>
      <c r="L25" s="9">
        <f>IF(A25="",0,IF(B25="High",3,IF(B25="Medium",2,IF(B25="Low",1,IF(ISNUMBER(B25),B25,1)))))</f>
        <v/>
      </c>
    </row>
    <row r="26">
      <c r="A26" s="5" t="n"/>
      <c r="B26" s="6" t="n"/>
      <c r="C26" s="7" t="n"/>
      <c r="D26" s="8" t="n"/>
      <c r="E26" s="8" t="n"/>
      <c r="F26" s="8" t="n"/>
      <c r="G26" s="8" t="n"/>
      <c r="H26" s="8" t="n"/>
      <c r="I26" s="8" t="n"/>
      <c r="J26" s="8" t="n"/>
      <c r="K26" s="8" t="n"/>
      <c r="L26" s="9">
        <f>IF(A26="",0,IF(B26="High",3,IF(B26="Medium",2,IF(B26="Low",1,IF(ISNUMBER(B26),B26,1)))))</f>
        <v/>
      </c>
    </row>
    <row r="27">
      <c r="A27" s="5" t="n"/>
      <c r="B27" s="6" t="n"/>
      <c r="C27" s="7" t="n"/>
      <c r="D27" s="8" t="n"/>
      <c r="E27" s="8" t="n"/>
      <c r="F27" s="8" t="n"/>
      <c r="G27" s="8" t="n"/>
      <c r="H27" s="8" t="n"/>
      <c r="I27" s="8" t="n"/>
      <c r="J27" s="8" t="n"/>
      <c r="K27" s="8" t="n"/>
      <c r="L27" s="9">
        <f>IF(A27="",0,IF(B27="High",3,IF(B27="Medium",2,IF(B27="Low",1,IF(ISNUMBER(B27),B27,1)))))</f>
        <v/>
      </c>
    </row>
    <row r="28">
      <c r="A28" s="5" t="n"/>
      <c r="B28" s="6" t="n"/>
      <c r="C28" s="7" t="n"/>
      <c r="D28" s="8" t="n"/>
      <c r="E28" s="8" t="n"/>
      <c r="F28" s="8" t="n"/>
      <c r="G28" s="8" t="n"/>
      <c r="H28" s="8" t="n"/>
      <c r="I28" s="8" t="n"/>
      <c r="J28" s="8" t="n"/>
      <c r="K28" s="8" t="n"/>
      <c r="L28" s="9">
        <f>IF(A28="",0,IF(B28="High",3,IF(B28="Medium",2,IF(B28="Low",1,IF(ISNUMBER(B28),B28,1)))))</f>
        <v/>
      </c>
    </row>
    <row r="29">
      <c r="A29" s="5" t="n"/>
      <c r="B29" s="6" t="n"/>
      <c r="C29" s="7" t="n"/>
      <c r="D29" s="8" t="n"/>
      <c r="E29" s="8" t="n"/>
      <c r="F29" s="8" t="n"/>
      <c r="G29" s="8" t="n"/>
      <c r="H29" s="8" t="n"/>
      <c r="I29" s="8" t="n"/>
      <c r="J29" s="8" t="n"/>
      <c r="K29" s="8" t="n"/>
      <c r="L29" s="9">
        <f>IF(A29="",0,IF(B29="High",3,IF(B29="Medium",2,IF(B29="Low",1,IF(ISNUMBER(B29),B29,1)))))</f>
        <v/>
      </c>
    </row>
    <row r="30">
      <c r="A30" s="5" t="n"/>
      <c r="B30" s="6" t="n"/>
      <c r="C30" s="7" t="n"/>
      <c r="D30" s="8" t="n"/>
      <c r="E30" s="8" t="n"/>
      <c r="F30" s="8" t="n"/>
      <c r="G30" s="8" t="n"/>
      <c r="H30" s="8" t="n"/>
      <c r="I30" s="8" t="n"/>
      <c r="J30" s="8" t="n"/>
      <c r="K30" s="8" t="n"/>
      <c r="L30" s="9">
        <f>IF(A30="",0,IF(B30="High",3,IF(B30="Medium",2,IF(B30="Low",1,IF(ISNUMBER(B30),B30,1)))))</f>
        <v/>
      </c>
    </row>
    <row r="31">
      <c r="A31" s="5" t="n"/>
      <c r="B31" s="6" t="n"/>
      <c r="C31" s="7" t="n"/>
      <c r="D31" s="8" t="n"/>
      <c r="E31" s="8" t="n"/>
      <c r="F31" s="8" t="n"/>
      <c r="G31" s="8" t="n"/>
      <c r="H31" s="8" t="n"/>
      <c r="I31" s="8" t="n"/>
      <c r="J31" s="8" t="n"/>
      <c r="K31" s="8" t="n"/>
      <c r="L31" s="9">
        <f>IF(A31="",0,IF(B31="High",3,IF(B31="Medium",2,IF(B31="Low",1,IF(ISNUMBER(B31),B31,1)))))</f>
        <v/>
      </c>
    </row>
    <row r="32">
      <c r="A32" s="5" t="n"/>
      <c r="B32" s="6" t="n"/>
      <c r="C32" s="7" t="n"/>
      <c r="D32" s="8" t="n"/>
      <c r="E32" s="8" t="n"/>
      <c r="F32" s="8" t="n"/>
      <c r="G32" s="8" t="n"/>
      <c r="H32" s="8" t="n"/>
      <c r="I32" s="8" t="n"/>
      <c r="J32" s="8" t="n"/>
      <c r="K32" s="8" t="n"/>
      <c r="L32" s="9">
        <f>IF(A32="",0,IF(B32="High",3,IF(B32="Medium",2,IF(B32="Low",1,IF(ISNUMBER(B32),B32,1)))))</f>
        <v/>
      </c>
    </row>
    <row r="33">
      <c r="A33" s="5" t="n"/>
      <c r="B33" s="6" t="n"/>
      <c r="C33" s="7" t="n"/>
      <c r="D33" s="8" t="n"/>
      <c r="E33" s="8" t="n"/>
      <c r="F33" s="8" t="n"/>
      <c r="G33" s="8" t="n"/>
      <c r="H33" s="8" t="n"/>
      <c r="I33" s="8" t="n"/>
      <c r="J33" s="8" t="n"/>
      <c r="K33" s="8" t="n"/>
      <c r="L33" s="9">
        <f>IF(A33="",0,IF(B33="High",3,IF(B33="Medium",2,IF(B33="Low",1,IF(ISNUMBER(B33),B33,1)))))</f>
        <v/>
      </c>
    </row>
    <row r="34">
      <c r="A34" s="5" t="n"/>
      <c r="B34" s="6" t="n"/>
      <c r="C34" s="7" t="n"/>
      <c r="D34" s="8" t="n"/>
      <c r="E34" s="8" t="n"/>
      <c r="F34" s="8" t="n"/>
      <c r="G34" s="8" t="n"/>
      <c r="H34" s="8" t="n"/>
      <c r="I34" s="8" t="n"/>
      <c r="J34" s="8" t="n"/>
      <c r="K34" s="8" t="n"/>
      <c r="L34" s="9">
        <f>IF(A34="",0,IF(B34="High",3,IF(B34="Medium",2,IF(B34="Low",1,IF(ISNUMBER(B34),B34,1)))))</f>
        <v/>
      </c>
    </row>
    <row r="36">
      <c r="A36" s="10" t="inlineStr">
        <is>
          <t>Better (+)</t>
        </is>
      </c>
      <c r="B36" s="11" t="n"/>
      <c r="C36" s="12" t="inlineStr">
        <is>
          <t>S only</t>
        </is>
      </c>
      <c r="D36" s="13">
        <f>IF(D$4="","",SUMPRODUCT((D$5:D$34="+")*1))</f>
        <v/>
      </c>
      <c r="E36" s="13">
        <f>IF(E$4="","",SUMPRODUCT((E$5:E$34="+")*1))</f>
        <v/>
      </c>
      <c r="F36" s="13">
        <f>IF(F$4="","",SUMPRODUCT((F$5:F$34="+")*1))</f>
        <v/>
      </c>
      <c r="G36" s="13">
        <f>IF(G$4="","",SUMPRODUCT((G$5:G$34="+")*1))</f>
        <v/>
      </c>
      <c r="H36" s="13">
        <f>IF(H$4="","",SUMPRODUCT((H$5:H$34="+")*1))</f>
        <v/>
      </c>
      <c r="I36" s="13">
        <f>IF(I$4="","",SUMPRODUCT((I$5:I$34="+")*1))</f>
        <v/>
      </c>
      <c r="J36" s="13">
        <f>IF(J$4="","",SUMPRODUCT((J$5:J$34="+")*1))</f>
        <v/>
      </c>
      <c r="K36" s="13">
        <f>IF(K$4="","",SUMPRODUCT((K$5:K$34="+")*1))</f>
        <v/>
      </c>
      <c r="L36" s="11" t="n"/>
    </row>
    <row r="37">
      <c r="A37" s="14" t="inlineStr">
        <is>
          <t>Same (S)</t>
        </is>
      </c>
      <c r="B37" s="15" t="n"/>
      <c r="C37" s="15" t="n"/>
      <c r="D37" s="16">
        <f>IF(D$4="","",SUMPRODUCT((D$5:D$34="S")*1))</f>
        <v/>
      </c>
      <c r="E37" s="16">
        <f>IF(E$4="","",SUMPRODUCT((E$5:E$34="S")*1))</f>
        <v/>
      </c>
      <c r="F37" s="16">
        <f>IF(F$4="","",SUMPRODUCT((F$5:F$34="S")*1))</f>
        <v/>
      </c>
      <c r="G37" s="16">
        <f>IF(G$4="","",SUMPRODUCT((G$5:G$34="S")*1))</f>
        <v/>
      </c>
      <c r="H37" s="16">
        <f>IF(H$4="","",SUMPRODUCT((H$5:H$34="S")*1))</f>
        <v/>
      </c>
      <c r="I37" s="16">
        <f>IF(I$4="","",SUMPRODUCT((I$5:I$34="S")*1))</f>
        <v/>
      </c>
      <c r="J37" s="16">
        <f>IF(J$4="","",SUMPRODUCT((J$5:J$34="S")*1))</f>
        <v/>
      </c>
      <c r="K37" s="16">
        <f>IF(K$4="","",SUMPRODUCT((K$5:K$34="S")*1))</f>
        <v/>
      </c>
      <c r="L37" s="15" t="n"/>
    </row>
    <row r="38">
      <c r="A38" s="14" t="inlineStr">
        <is>
          <t>Worse (-)</t>
        </is>
      </c>
      <c r="B38" s="15" t="n"/>
      <c r="C38" s="15" t="n"/>
      <c r="D38" s="16">
        <f>IF(D$4="","",SUMPRODUCT((D$5:D$34="-")*1))</f>
        <v/>
      </c>
      <c r="E38" s="16">
        <f>IF(E$4="","",SUMPRODUCT((E$5:E$34="-")*1))</f>
        <v/>
      </c>
      <c r="F38" s="16">
        <f>IF(F$4="","",SUMPRODUCT((F$5:F$34="-")*1))</f>
        <v/>
      </c>
      <c r="G38" s="16">
        <f>IF(G$4="","",SUMPRODUCT((G$5:G$34="-")*1))</f>
        <v/>
      </c>
      <c r="H38" s="16">
        <f>IF(H$4="","",SUMPRODUCT((H$5:H$34="-")*1))</f>
        <v/>
      </c>
      <c r="I38" s="16">
        <f>IF(I$4="","",SUMPRODUCT((I$5:I$34="-")*1))</f>
        <v/>
      </c>
      <c r="J38" s="16">
        <f>IF(J$4="","",SUMPRODUCT((J$5:J$34="-")*1))</f>
        <v/>
      </c>
      <c r="K38" s="16">
        <f>IF(K$4="","",SUMPRODUCT((K$5:K$34="-")*1))</f>
        <v/>
      </c>
      <c r="L38" s="15" t="n"/>
    </row>
    <row r="39">
      <c r="A39" s="14" t="inlineStr">
        <is>
          <t>Criteria not marked</t>
        </is>
      </c>
      <c r="B39" s="15" t="n"/>
      <c r="C39" s="15" t="n"/>
      <c r="D39" s="16">
        <f>IF(D$4="","",SUMPRODUCT(($A$5:$A$34&lt;&gt;"")*(D$5:D$34="")))</f>
        <v/>
      </c>
      <c r="E39" s="16">
        <f>IF(E$4="","",SUMPRODUCT(($A$5:$A$34&lt;&gt;"")*(E$5:E$34="")))</f>
        <v/>
      </c>
      <c r="F39" s="16">
        <f>IF(F$4="","",SUMPRODUCT(($A$5:$A$34&lt;&gt;"")*(F$5:F$34="")))</f>
        <v/>
      </c>
      <c r="G39" s="16">
        <f>IF(G$4="","",SUMPRODUCT(($A$5:$A$34&lt;&gt;"")*(G$5:G$34="")))</f>
        <v/>
      </c>
      <c r="H39" s="16">
        <f>IF(H$4="","",SUMPRODUCT(($A$5:$A$34&lt;&gt;"")*(H$5:H$34="")))</f>
        <v/>
      </c>
      <c r="I39" s="16">
        <f>IF(I$4="","",SUMPRODUCT(($A$5:$A$34&lt;&gt;"")*(I$5:I$34="")))</f>
        <v/>
      </c>
      <c r="J39" s="16">
        <f>IF(J$4="","",SUMPRODUCT(($A$5:$A$34&lt;&gt;"")*(J$5:J$34="")))</f>
        <v/>
      </c>
      <c r="K39" s="16">
        <f>IF(K$4="","",SUMPRODUCT(($A$5:$A$34&lt;&gt;"")*(K$5:K$34="")))</f>
        <v/>
      </c>
      <c r="L39" s="15" t="n"/>
    </row>
    <row r="40">
      <c r="A40" s="17" t="inlineStr">
        <is>
          <t>Later practice, not Pugh's (the marks must not be summed):</t>
        </is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4" t="inlineStr">
        <is>
          <t>Net (better minus worse)</t>
        </is>
      </c>
      <c r="B41" s="15" t="n"/>
      <c r="C41" s="15" t="n"/>
      <c r="D41" s="18">
        <f>IF(D$4="","",D36-D38)</f>
        <v/>
      </c>
      <c r="E41" s="18">
        <f>IF(E$4="","",E36-E38)</f>
        <v/>
      </c>
      <c r="F41" s="18">
        <f>IF(F$4="","",F36-F38)</f>
        <v/>
      </c>
      <c r="G41" s="18">
        <f>IF(G$4="","",G36-G38)</f>
        <v/>
      </c>
      <c r="H41" s="18">
        <f>IF(H$4="","",H36-H38)</f>
        <v/>
      </c>
      <c r="I41" s="18">
        <f>IF(I$4="","",I36-I38)</f>
        <v/>
      </c>
      <c r="J41" s="18">
        <f>IF(J$4="","",J36-J38)</f>
        <v/>
      </c>
      <c r="K41" s="18">
        <f>IF(K$4="","",K36-K38)</f>
        <v/>
      </c>
      <c r="L41" s="15" t="n"/>
    </row>
    <row r="42">
      <c r="A42" s="14" t="inlineStr">
        <is>
          <t>Weighted net</t>
        </is>
      </c>
      <c r="B42" s="15" t="n"/>
      <c r="C42" s="15" t="n"/>
      <c r="D42" s="16">
        <f>IF(D$4="","",SUMPRODUCT($L$5:$L$34*(D$5:D$34="+"))-SUMPRODUCT($L$5:$L$34*(D$5:D$34="-")))</f>
        <v/>
      </c>
      <c r="E42" s="16">
        <f>IF(E$4="","",SUMPRODUCT($L$5:$L$34*(E$5:E$34="+"))-SUMPRODUCT($L$5:$L$34*(E$5:E$34="-")))</f>
        <v/>
      </c>
      <c r="F42" s="16">
        <f>IF(F$4="","",SUMPRODUCT($L$5:$L$34*(F$5:F$34="+"))-SUMPRODUCT($L$5:$L$34*(F$5:F$34="-")))</f>
        <v/>
      </c>
      <c r="G42" s="16">
        <f>IF(G$4="","",SUMPRODUCT($L$5:$L$34*(G$5:G$34="+"))-SUMPRODUCT($L$5:$L$34*(G$5:G$34="-")))</f>
        <v/>
      </c>
      <c r="H42" s="16">
        <f>IF(H$4="","",SUMPRODUCT($L$5:$L$34*(H$5:H$34="+"))-SUMPRODUCT($L$5:$L$34*(H$5:H$34="-")))</f>
        <v/>
      </c>
      <c r="I42" s="16">
        <f>IF(I$4="","",SUMPRODUCT($L$5:$L$34*(I$5:I$34="+"))-SUMPRODUCT($L$5:$L$34*(I$5:I$34="-")))</f>
        <v/>
      </c>
      <c r="J42" s="16">
        <f>IF(J$4="","",SUMPRODUCT($L$5:$L$34*(J$5:J$34="+"))-SUMPRODUCT($L$5:$L$34*(J$5:J$34="-")))</f>
        <v/>
      </c>
      <c r="K42" s="16">
        <f>IF(K$4="","",SUMPRODUCT($L$5:$L$34*(K$5:K$34="+"))-SUMPRODUCT($L$5:$L$34*(K$5:K$34="-")))</f>
        <v/>
      </c>
      <c r="L42" s="15" t="n"/>
    </row>
    <row r="43">
      <c r="A43" s="14" t="inlineStr">
        <is>
          <t>Rank by net</t>
        </is>
      </c>
      <c r="B43" s="15" t="n"/>
      <c r="C43" s="15" t="n"/>
      <c r="D43" s="16">
        <f>IF(D$4="","",RANK(D41,$D$41:$K$41))</f>
        <v/>
      </c>
      <c r="E43" s="16">
        <f>IF(E$4="","",RANK(E41,$D$41:$K$41))</f>
        <v/>
      </c>
      <c r="F43" s="16">
        <f>IF(F$4="","",RANK(F41,$D$41:$K$41))</f>
        <v/>
      </c>
      <c r="G43" s="16">
        <f>IF(G$4="","",RANK(G41,$D$41:$K$41))</f>
        <v/>
      </c>
      <c r="H43" s="16">
        <f>IF(H$4="","",RANK(H41,$D$41:$K$41))</f>
        <v/>
      </c>
      <c r="I43" s="16">
        <f>IF(I$4="","",RANK(I41,$D$41:$K$41))</f>
        <v/>
      </c>
      <c r="J43" s="16">
        <f>IF(J$4="","",RANK(J41,$D$41:$K$41))</f>
        <v/>
      </c>
      <c r="K43" s="16">
        <f>IF(K$4="","",RANK(K41,$D$41:$K$41))</f>
        <v/>
      </c>
      <c r="L43" s="15" t="n"/>
    </row>
    <row r="44">
      <c r="A44" s="14" t="inlineStr">
        <is>
          <t>Rank by weighted net</t>
        </is>
      </c>
      <c r="B44" s="15" t="n"/>
      <c r="C44" s="15" t="n"/>
      <c r="D44" s="16">
        <f>IF(D$4="","",RANK(D42,$D$42:$K$42))</f>
        <v/>
      </c>
      <c r="E44" s="16">
        <f>IF(E$4="","",RANK(E42,$D$42:$K$42))</f>
        <v/>
      </c>
      <c r="F44" s="16">
        <f>IF(F$4="","",RANK(F42,$D$42:$K$42))</f>
        <v/>
      </c>
      <c r="G44" s="16">
        <f>IF(G$4="","",RANK(G42,$D$42:$K$42))</f>
        <v/>
      </c>
      <c r="H44" s="16">
        <f>IF(H$4="","",RANK(H42,$D$42:$K$42))</f>
        <v/>
      </c>
      <c r="I44" s="16">
        <f>IF(I$4="","",RANK(I42,$D$42:$K$42))</f>
        <v/>
      </c>
      <c r="J44" s="16">
        <f>IF(J$4="","",RANK(J42,$D$42:$K$42))</f>
        <v/>
      </c>
      <c r="K44" s="16">
        <f>IF(K$4="","",RANK(K42,$D$42:$K$42))</f>
        <v/>
      </c>
      <c r="L44" s="15" t="n"/>
    </row>
    <row r="46">
      <c r="A46" s="19" t="inlineStr">
        <is>
          <t>Decision: {{decision: which alternatives are dropped, combined or taken forward, and why}}</t>
        </is>
      </c>
    </row>
    <row r="47">
      <c r="A47" s="2" t="inlineStr">
        <is>
          <t>Read the pattern, not only the totals: an alternative with many + can still lose on the criterion that matters most. The matrix does not make the decision; control stays with the participants.</t>
        </is>
      </c>
    </row>
  </sheetData>
  <mergeCells count="4">
    <mergeCell ref="A2:L2"/>
    <mergeCell ref="A47:L47"/>
    <mergeCell ref="A1:L1"/>
    <mergeCell ref="A46:L46"/>
  </mergeCells>
  <dataValidations count="3">
    <dataValidation sqref="D5:K34" showDropDown="0" showInputMessage="0" showErrorMessage="1" allowBlank="1" errorTitle="Mark" error="Use + (better), S (same) or - (worse)" type="list" errorStyle="stop">
      <formula1>"+,S,-"</formula1>
    </dataValidation>
    <dataValidation sqref="C5:C34" showDropDown="0" showInputMessage="0" showErrorMessage="1" allowBlank="1" errorTitle="Datum" error="The datum is always S" type="list" errorStyle="stop">
      <formula1>"S"</formula1>
    </dataValidation>
    <dataValidation sqref="B5:B34" showDropDown="0" showInputMessage="0" showErrorMessage="1" allowBlank="1" errorTitle="Importance" error="Pugh grades criteria High, Medium or Low; a number is accepted for the weighted net" type="list" errorStyle="warning">
      <formula1>"High,Medium,Low"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2026-10-28T13:29:42Z</dcterms:created>
  <dcterms:modified xmlns:dcterms="http://purl.org/dc/terms/" xmlns:xsi="http://www.w3.org/2001/XMLSchema-instance" xsi:type="dcterms:W3CDTF">2026-10-28T13:29:42Z</dcterms:modified>
</cp:coreProperties>
</file>