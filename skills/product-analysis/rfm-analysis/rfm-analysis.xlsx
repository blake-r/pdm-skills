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egments" sheetId="2" state="visible" r:id="rId2"/>
  </sheets>
  <definedNames>
    <definedName name="data_start">Customers!$A$8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shrinkToFit="1"/>
    </xf>
    <xf numFmtId="3" fontId="3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pdm-skills</author>
  </authors>
  <commentList>
    <comment ref="A3" authorId="0" shapeId="0">
      <text>
        <t>Recency thresholds, in days since the last purchase.</t>
      </text>
    </comment>
    <comment ref="A4" authorId="0" shapeId="0">
      <text>
        <t>Orders in the analysis period.</t>
      </text>
    </comment>
    <comment ref="A5" authorId="0" shapeId="0">
      <text>
        <t>Purchase amount in the base currency, same period.</t>
      </text>
    </comment>
    <comment ref="A7" authorId="0" shapeId="0">
      <text>
        <t>Customer ID or name, one per row.</t>
      </text>
    </comment>
    <comment ref="B7" authorId="0" shapeId="0">
      <text>
        <t>How many days passed from the last purchase to the calculation date.</t>
      </text>
    </comment>
    <comment ref="C7" authorId="0" shapeId="0">
      <text>
        <t>The customer's number of orders in the analysis period.</t>
      </text>
    </comment>
    <comment ref="D7" authorId="0" shapeId="0">
      <text>
        <t>The customer's purchase amount in the analysis period.</t>
      </text>
    </comment>
    <comment ref="E7" authorId="0" shapeId="0">
      <text>
        <t>Calculated automatically from the thresholds in row 3.</t>
      </text>
    </comment>
    <comment ref="F7" authorId="0" shapeId="0">
      <text>
        <t>Calculated automatically from the thresholds in row 4.</t>
      </text>
    </comment>
    <comment ref="G7" authorId="0" shapeId="0">
      <text>
        <t>Calculated automatically from the thresholds in row 5.</t>
      </text>
    </comment>
    <comment ref="H7" authorId="0" shapeId="0">
      <text>
        <t>R-F-M code, e.g. 3-3-2.</t>
      </text>
    </comment>
    <comment ref="I7" authorId="0" shapeId="0">
      <text>
        <t>Calculated automatically from R and F: recency × frequency.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6" customWidth="1" min="2" max="2"/>
    <col width="11" customWidth="1" min="3" max="3"/>
    <col width="16" customWidth="1" min="4" max="4"/>
    <col width="9" customWidth="1" min="5" max="5"/>
    <col width="16" customWidth="1" min="6" max="6"/>
    <col width="9" customWidth="1" min="7" max="7"/>
    <col width="9" customWidth="1" min="8" max="8"/>
    <col width="26" customWidth="1" min="9" max="9"/>
  </cols>
  <sheetData>
    <row r="1">
      <c r="A1" s="1" t="inlineStr">
        <is>
          <t>RFM Analysis: {{title: customer base, period and calculation date}}</t>
        </is>
      </c>
    </row>
    <row r="2">
      <c r="A2" s="2" t="inlineStr">
        <is>
          <t>Scale thresholds (3 — best, 1 — worst):</t>
        </is>
      </c>
    </row>
    <row r="3">
      <c r="A3" s="3" t="inlineStr">
        <is>
          <t>R, days since last purchase</t>
        </is>
      </c>
      <c r="B3" s="4" t="inlineStr">
        <is>
          <t>3 — at most</t>
        </is>
      </c>
      <c r="C3" s="5" t="n">
        <v>30</v>
      </c>
      <c r="D3" s="4" t="inlineStr">
        <is>
          <t>2 — at most</t>
        </is>
      </c>
      <c r="E3" s="5" t="n">
        <v>90</v>
      </c>
      <c r="F3" s="2" t="inlineStr">
        <is>
          <t>otherwise 1 (churn)</t>
        </is>
      </c>
    </row>
    <row r="4">
      <c r="A4" s="3" t="inlineStr">
        <is>
          <t>F, orders in the period</t>
        </is>
      </c>
      <c r="B4" s="4" t="inlineStr">
        <is>
          <t>3 — at least</t>
        </is>
      </c>
      <c r="C4" s="5" t="n">
        <v>4</v>
      </c>
      <c r="D4" s="4" t="inlineStr">
        <is>
          <t>2 — at least</t>
        </is>
      </c>
      <c r="E4" s="5" t="n">
        <v>2</v>
      </c>
      <c r="F4" s="2" t="inlineStr">
        <is>
          <t>otherwise 1 (one-off)</t>
        </is>
      </c>
    </row>
    <row r="5">
      <c r="A5" s="3" t="inlineStr">
        <is>
          <t>M, purchase amount in the period</t>
        </is>
      </c>
      <c r="B5" s="4" t="inlineStr">
        <is>
          <t>3 — at least</t>
        </is>
      </c>
      <c r="C5" s="5" t="n">
        <v>20000</v>
      </c>
      <c r="D5" s="4" t="inlineStr">
        <is>
          <t>2 — at least</t>
        </is>
      </c>
      <c r="E5" s="5" t="n">
        <v>5000</v>
      </c>
      <c r="F5" s="2" t="inlineStr">
        <is>
          <t>otherwise 1</t>
        </is>
      </c>
    </row>
    <row r="7" ht="46" customHeight="1">
      <c r="A7" s="6" t="inlineStr">
        <is>
          <t>Customer</t>
        </is>
      </c>
      <c r="B7" s="7" t="inlineStr">
        <is>
          <t>Days since last purchase</t>
        </is>
      </c>
      <c r="C7" s="7" t="inlineStr">
        <is>
          <t>Orders</t>
        </is>
      </c>
      <c r="D7" s="7" t="inlineStr">
        <is>
          <t>Purchase amount</t>
        </is>
      </c>
      <c r="E7" s="7" t="inlineStr">
        <is>
          <t>R</t>
        </is>
      </c>
      <c r="F7" s="7" t="inlineStr">
        <is>
          <t>F</t>
        </is>
      </c>
      <c r="G7" s="7" t="inlineStr">
        <is>
          <t>M</t>
        </is>
      </c>
      <c r="H7" s="7" t="inlineStr">
        <is>
          <t>RFM</t>
        </is>
      </c>
      <c r="I7" s="6" t="inlineStr">
        <is>
          <t>Segment</t>
        </is>
      </c>
    </row>
    <row r="8">
      <c r="A8" s="8" t="n"/>
      <c r="B8" s="8" t="n"/>
      <c r="C8" s="8" t="n"/>
      <c r="D8" s="9" t="n"/>
      <c r="E8" s="10">
        <f>IF(B8="","",IF(B8&lt;=$C$3,3,IF(B8&lt;=$E$3,2,1)))</f>
        <v/>
      </c>
      <c r="F8" s="10">
        <f>IF(C8="","",IF(C8&gt;=$C$4,3,IF(C8&gt;=$E$4,2,1)))</f>
        <v/>
      </c>
      <c r="G8" s="10">
        <f>IF(D8="","",IF(D8&gt;=$C$5,3,IF(D8&gt;=$E$5,2,1)))</f>
        <v/>
      </c>
      <c r="H8" s="10">
        <f>IF(E8="","",E8&amp;"-"&amp;F8&amp;"-"&amp;G8)</f>
        <v/>
      </c>
      <c r="I8" s="8">
        <f>IF(E8="","",CHOOSE(E8,"Churned","Dormant","Recent")&amp;", "&amp;CHOOSE(F8,"one-off","medium","frequent"))</f>
        <v/>
      </c>
    </row>
    <row r="9">
      <c r="A9" s="8" t="n"/>
      <c r="B9" s="8" t="n"/>
      <c r="C9" s="8" t="n"/>
      <c r="D9" s="9" t="n"/>
      <c r="E9" s="10">
        <f>IF(B9="","",IF(B9&lt;=$C$3,3,IF(B9&lt;=$E$3,2,1)))</f>
        <v/>
      </c>
      <c r="F9" s="10">
        <f>IF(C9="","",IF(C9&gt;=$C$4,3,IF(C9&gt;=$E$4,2,1)))</f>
        <v/>
      </c>
      <c r="G9" s="10">
        <f>IF(D9="","",IF(D9&gt;=$C$5,3,IF(D9&gt;=$E$5,2,1)))</f>
        <v/>
      </c>
      <c r="H9" s="10">
        <f>IF(E9="","",E9&amp;"-"&amp;F9&amp;"-"&amp;G9)</f>
        <v/>
      </c>
      <c r="I9" s="8">
        <f>IF(E9="","",CHOOSE(E9,"Churned","Dormant","Recent")&amp;", "&amp;CHOOSE(F9,"one-off","medium","frequent"))</f>
        <v/>
      </c>
    </row>
    <row r="10">
      <c r="A10" s="8" t="n"/>
      <c r="B10" s="8" t="n"/>
      <c r="C10" s="8" t="n"/>
      <c r="D10" s="9" t="n"/>
      <c r="E10" s="10">
        <f>IF(B10="","",IF(B10&lt;=$C$3,3,IF(B10&lt;=$E$3,2,1)))</f>
        <v/>
      </c>
      <c r="F10" s="10">
        <f>IF(C10="","",IF(C10&gt;=$C$4,3,IF(C10&gt;=$E$4,2,1)))</f>
        <v/>
      </c>
      <c r="G10" s="10">
        <f>IF(D10="","",IF(D10&gt;=$C$5,3,IF(D10&gt;=$E$5,2,1)))</f>
        <v/>
      </c>
      <c r="H10" s="10">
        <f>IF(E10="","",E10&amp;"-"&amp;F10&amp;"-"&amp;G10)</f>
        <v/>
      </c>
      <c r="I10" s="8">
        <f>IF(E10="","",CHOOSE(E10,"Churned","Dormant","Recent")&amp;", "&amp;CHOOSE(F10,"one-off","medium","frequent"))</f>
        <v/>
      </c>
    </row>
    <row r="11">
      <c r="A11" s="8" t="n"/>
      <c r="B11" s="8" t="n"/>
      <c r="C11" s="8" t="n"/>
      <c r="D11" s="9" t="n"/>
      <c r="E11" s="10">
        <f>IF(B11="","",IF(B11&lt;=$C$3,3,IF(B11&lt;=$E$3,2,1)))</f>
        <v/>
      </c>
      <c r="F11" s="10">
        <f>IF(C11="","",IF(C11&gt;=$C$4,3,IF(C11&gt;=$E$4,2,1)))</f>
        <v/>
      </c>
      <c r="G11" s="10">
        <f>IF(D11="","",IF(D11&gt;=$C$5,3,IF(D11&gt;=$E$5,2,1)))</f>
        <v/>
      </c>
      <c r="H11" s="10">
        <f>IF(E11="","",E11&amp;"-"&amp;F11&amp;"-"&amp;G11)</f>
        <v/>
      </c>
      <c r="I11" s="8">
        <f>IF(E11="","",CHOOSE(E11,"Churned","Dormant","Recent")&amp;", "&amp;CHOOSE(F11,"one-off","medium","frequent"))</f>
        <v/>
      </c>
    </row>
    <row r="12">
      <c r="A12" s="8" t="n"/>
      <c r="B12" s="8" t="n"/>
      <c r="C12" s="8" t="n"/>
      <c r="D12" s="9" t="n"/>
      <c r="E12" s="10">
        <f>IF(B12="","",IF(B12&lt;=$C$3,3,IF(B12&lt;=$E$3,2,1)))</f>
        <v/>
      </c>
      <c r="F12" s="10">
        <f>IF(C12="","",IF(C12&gt;=$C$4,3,IF(C12&gt;=$E$4,2,1)))</f>
        <v/>
      </c>
      <c r="G12" s="10">
        <f>IF(D12="","",IF(D12&gt;=$C$5,3,IF(D12&gt;=$E$5,2,1)))</f>
        <v/>
      </c>
      <c r="H12" s="10">
        <f>IF(E12="","",E12&amp;"-"&amp;F12&amp;"-"&amp;G12)</f>
        <v/>
      </c>
      <c r="I12" s="8">
        <f>IF(E12="","",CHOOSE(E12,"Churned","Dormant","Recent")&amp;", "&amp;CHOOSE(F12,"one-off","medium","frequent"))</f>
        <v/>
      </c>
    </row>
    <row r="13">
      <c r="A13" s="8" t="n"/>
      <c r="B13" s="8" t="n"/>
      <c r="C13" s="8" t="n"/>
      <c r="D13" s="9" t="n"/>
      <c r="E13" s="10">
        <f>IF(B13="","",IF(B13&lt;=$C$3,3,IF(B13&lt;=$E$3,2,1)))</f>
        <v/>
      </c>
      <c r="F13" s="10">
        <f>IF(C13="","",IF(C13&gt;=$C$4,3,IF(C13&gt;=$E$4,2,1)))</f>
        <v/>
      </c>
      <c r="G13" s="10">
        <f>IF(D13="","",IF(D13&gt;=$C$5,3,IF(D13&gt;=$E$5,2,1)))</f>
        <v/>
      </c>
      <c r="H13" s="10">
        <f>IF(E13="","",E13&amp;"-"&amp;F13&amp;"-"&amp;G13)</f>
        <v/>
      </c>
      <c r="I13" s="8">
        <f>IF(E13="","",CHOOSE(E13,"Churned","Dormant","Recent")&amp;", "&amp;CHOOSE(F13,"one-off","medium","frequent"))</f>
        <v/>
      </c>
    </row>
    <row r="14">
      <c r="A14" s="8" t="n"/>
      <c r="B14" s="8" t="n"/>
      <c r="C14" s="8" t="n"/>
      <c r="D14" s="9" t="n"/>
      <c r="E14" s="10">
        <f>IF(B14="","",IF(B14&lt;=$C$3,3,IF(B14&lt;=$E$3,2,1)))</f>
        <v/>
      </c>
      <c r="F14" s="10">
        <f>IF(C14="","",IF(C14&gt;=$C$4,3,IF(C14&gt;=$E$4,2,1)))</f>
        <v/>
      </c>
      <c r="G14" s="10">
        <f>IF(D14="","",IF(D14&gt;=$C$5,3,IF(D14&gt;=$E$5,2,1)))</f>
        <v/>
      </c>
      <c r="H14" s="10">
        <f>IF(E14="","",E14&amp;"-"&amp;F14&amp;"-"&amp;G14)</f>
        <v/>
      </c>
      <c r="I14" s="8">
        <f>IF(E14="","",CHOOSE(E14,"Churned","Dormant","Recent")&amp;", "&amp;CHOOSE(F14,"one-off","medium","frequent"))</f>
        <v/>
      </c>
    </row>
    <row r="15">
      <c r="A15" s="8" t="n"/>
      <c r="B15" s="8" t="n"/>
      <c r="C15" s="8" t="n"/>
      <c r="D15" s="9" t="n"/>
      <c r="E15" s="10">
        <f>IF(B15="","",IF(B15&lt;=$C$3,3,IF(B15&lt;=$E$3,2,1)))</f>
        <v/>
      </c>
      <c r="F15" s="10">
        <f>IF(C15="","",IF(C15&gt;=$C$4,3,IF(C15&gt;=$E$4,2,1)))</f>
        <v/>
      </c>
      <c r="G15" s="10">
        <f>IF(D15="","",IF(D15&gt;=$C$5,3,IF(D15&gt;=$E$5,2,1)))</f>
        <v/>
      </c>
      <c r="H15" s="10">
        <f>IF(E15="","",E15&amp;"-"&amp;F15&amp;"-"&amp;G15)</f>
        <v/>
      </c>
      <c r="I15" s="8">
        <f>IF(E15="","",CHOOSE(E15,"Churned","Dormant","Recent")&amp;", "&amp;CHOOSE(F15,"one-off","medium","frequent"))</f>
        <v/>
      </c>
    </row>
    <row r="16">
      <c r="A16" s="8" t="n"/>
      <c r="B16" s="8" t="n"/>
      <c r="C16" s="8" t="n"/>
      <c r="D16" s="9" t="n"/>
      <c r="E16" s="10">
        <f>IF(B16="","",IF(B16&lt;=$C$3,3,IF(B16&lt;=$E$3,2,1)))</f>
        <v/>
      </c>
      <c r="F16" s="10">
        <f>IF(C16="","",IF(C16&gt;=$C$4,3,IF(C16&gt;=$E$4,2,1)))</f>
        <v/>
      </c>
      <c r="G16" s="10">
        <f>IF(D16="","",IF(D16&gt;=$C$5,3,IF(D16&gt;=$E$5,2,1)))</f>
        <v/>
      </c>
      <c r="H16" s="10">
        <f>IF(E16="","",E16&amp;"-"&amp;F16&amp;"-"&amp;G16)</f>
        <v/>
      </c>
      <c r="I16" s="8">
        <f>IF(E16="","",CHOOSE(E16,"Churned","Dormant","Recent")&amp;", "&amp;CHOOSE(F16,"one-off","medium","frequent"))</f>
        <v/>
      </c>
    </row>
    <row r="17">
      <c r="A17" s="8" t="n"/>
      <c r="B17" s="8" t="n"/>
      <c r="C17" s="8" t="n"/>
      <c r="D17" s="9" t="n"/>
      <c r="E17" s="10">
        <f>IF(B17="","",IF(B17&lt;=$C$3,3,IF(B17&lt;=$E$3,2,1)))</f>
        <v/>
      </c>
      <c r="F17" s="10">
        <f>IF(C17="","",IF(C17&gt;=$C$4,3,IF(C17&gt;=$E$4,2,1)))</f>
        <v/>
      </c>
      <c r="G17" s="10">
        <f>IF(D17="","",IF(D17&gt;=$C$5,3,IF(D17&gt;=$E$5,2,1)))</f>
        <v/>
      </c>
      <c r="H17" s="10">
        <f>IF(E17="","",E17&amp;"-"&amp;F17&amp;"-"&amp;G17)</f>
        <v/>
      </c>
      <c r="I17" s="8">
        <f>IF(E17="","",CHOOSE(E17,"Churned","Dormant","Recent")&amp;", "&amp;CHOOSE(F17,"one-off","medium","frequent"))</f>
        <v/>
      </c>
    </row>
    <row r="18">
      <c r="A18" s="8" t="n"/>
      <c r="B18" s="8" t="n"/>
      <c r="C18" s="8" t="n"/>
      <c r="D18" s="9" t="n"/>
      <c r="E18" s="10">
        <f>IF(B18="","",IF(B18&lt;=$C$3,3,IF(B18&lt;=$E$3,2,1)))</f>
        <v/>
      </c>
      <c r="F18" s="10">
        <f>IF(C18="","",IF(C18&gt;=$C$4,3,IF(C18&gt;=$E$4,2,1)))</f>
        <v/>
      </c>
      <c r="G18" s="10">
        <f>IF(D18="","",IF(D18&gt;=$C$5,3,IF(D18&gt;=$E$5,2,1)))</f>
        <v/>
      </c>
      <c r="H18" s="10">
        <f>IF(E18="","",E18&amp;"-"&amp;F18&amp;"-"&amp;G18)</f>
        <v/>
      </c>
      <c r="I18" s="8">
        <f>IF(E18="","",CHOOSE(E18,"Churned","Dormant","Recent")&amp;", "&amp;CHOOSE(F18,"one-off","medium","frequent"))</f>
        <v/>
      </c>
    </row>
    <row r="19">
      <c r="A19" s="8" t="n"/>
      <c r="B19" s="8" t="n"/>
      <c r="C19" s="8" t="n"/>
      <c r="D19" s="9" t="n"/>
      <c r="E19" s="10">
        <f>IF(B19="","",IF(B19&lt;=$C$3,3,IF(B19&lt;=$E$3,2,1)))</f>
        <v/>
      </c>
      <c r="F19" s="10">
        <f>IF(C19="","",IF(C19&gt;=$C$4,3,IF(C19&gt;=$E$4,2,1)))</f>
        <v/>
      </c>
      <c r="G19" s="10">
        <f>IF(D19="","",IF(D19&gt;=$C$5,3,IF(D19&gt;=$E$5,2,1)))</f>
        <v/>
      </c>
      <c r="H19" s="10">
        <f>IF(E19="","",E19&amp;"-"&amp;F19&amp;"-"&amp;G19)</f>
        <v/>
      </c>
      <c r="I19" s="8">
        <f>IF(E19="","",CHOOSE(E19,"Churned","Dormant","Recent")&amp;", "&amp;CHOOSE(F19,"one-off","medium","frequent"))</f>
        <v/>
      </c>
    </row>
    <row r="20">
      <c r="A20" s="8" t="n"/>
      <c r="B20" s="8" t="n"/>
      <c r="C20" s="8" t="n"/>
      <c r="D20" s="9" t="n"/>
      <c r="E20" s="10">
        <f>IF(B20="","",IF(B20&lt;=$C$3,3,IF(B20&lt;=$E$3,2,1)))</f>
        <v/>
      </c>
      <c r="F20" s="10">
        <f>IF(C20="","",IF(C20&gt;=$C$4,3,IF(C20&gt;=$E$4,2,1)))</f>
        <v/>
      </c>
      <c r="G20" s="10">
        <f>IF(D20="","",IF(D20&gt;=$C$5,3,IF(D20&gt;=$E$5,2,1)))</f>
        <v/>
      </c>
      <c r="H20" s="10">
        <f>IF(E20="","",E20&amp;"-"&amp;F20&amp;"-"&amp;G20)</f>
        <v/>
      </c>
      <c r="I20" s="8">
        <f>IF(E20="","",CHOOSE(E20,"Churned","Dormant","Recent")&amp;", "&amp;CHOOSE(F20,"one-off","medium","frequent"))</f>
        <v/>
      </c>
    </row>
    <row r="21">
      <c r="A21" s="8" t="n"/>
      <c r="B21" s="8" t="n"/>
      <c r="C21" s="8" t="n"/>
      <c r="D21" s="9" t="n"/>
      <c r="E21" s="10">
        <f>IF(B21="","",IF(B21&lt;=$C$3,3,IF(B21&lt;=$E$3,2,1)))</f>
        <v/>
      </c>
      <c r="F21" s="10">
        <f>IF(C21="","",IF(C21&gt;=$C$4,3,IF(C21&gt;=$E$4,2,1)))</f>
        <v/>
      </c>
      <c r="G21" s="10">
        <f>IF(D21="","",IF(D21&gt;=$C$5,3,IF(D21&gt;=$E$5,2,1)))</f>
        <v/>
      </c>
      <c r="H21" s="10">
        <f>IF(E21="","",E21&amp;"-"&amp;F21&amp;"-"&amp;G21)</f>
        <v/>
      </c>
      <c r="I21" s="8">
        <f>IF(E21="","",CHOOSE(E21,"Churned","Dormant","Recent")&amp;", "&amp;CHOOSE(F21,"one-off","medium","frequent"))</f>
        <v/>
      </c>
    </row>
    <row r="22">
      <c r="A22" s="8" t="n"/>
      <c r="B22" s="8" t="n"/>
      <c r="C22" s="8" t="n"/>
      <c r="D22" s="9" t="n"/>
      <c r="E22" s="10">
        <f>IF(B22="","",IF(B22&lt;=$C$3,3,IF(B22&lt;=$E$3,2,1)))</f>
        <v/>
      </c>
      <c r="F22" s="10">
        <f>IF(C22="","",IF(C22&gt;=$C$4,3,IF(C22&gt;=$E$4,2,1)))</f>
        <v/>
      </c>
      <c r="G22" s="10">
        <f>IF(D22="","",IF(D22&gt;=$C$5,3,IF(D22&gt;=$E$5,2,1)))</f>
        <v/>
      </c>
      <c r="H22" s="10">
        <f>IF(E22="","",E22&amp;"-"&amp;F22&amp;"-"&amp;G22)</f>
        <v/>
      </c>
      <c r="I22" s="8">
        <f>IF(E22="","",CHOOSE(E22,"Churned","Dormant","Recent")&amp;", "&amp;CHOOSE(F22,"one-off","medium","frequent"))</f>
        <v/>
      </c>
    </row>
    <row r="23">
      <c r="A23" s="8" t="n"/>
      <c r="B23" s="8" t="n"/>
      <c r="C23" s="8" t="n"/>
      <c r="D23" s="9" t="n"/>
      <c r="E23" s="10">
        <f>IF(B23="","",IF(B23&lt;=$C$3,3,IF(B23&lt;=$E$3,2,1)))</f>
        <v/>
      </c>
      <c r="F23" s="10">
        <f>IF(C23="","",IF(C23&gt;=$C$4,3,IF(C23&gt;=$E$4,2,1)))</f>
        <v/>
      </c>
      <c r="G23" s="10">
        <f>IF(D23="","",IF(D23&gt;=$C$5,3,IF(D23&gt;=$E$5,2,1)))</f>
        <v/>
      </c>
      <c r="H23" s="10">
        <f>IF(E23="","",E23&amp;"-"&amp;F23&amp;"-"&amp;G23)</f>
        <v/>
      </c>
      <c r="I23" s="8">
        <f>IF(E23="","",CHOOSE(E23,"Churned","Dormant","Recent")&amp;", "&amp;CHOOSE(F23,"one-off","medium","frequent"))</f>
        <v/>
      </c>
    </row>
    <row r="24">
      <c r="A24" s="8" t="n"/>
      <c r="B24" s="8" t="n"/>
      <c r="C24" s="8" t="n"/>
      <c r="D24" s="9" t="n"/>
      <c r="E24" s="10">
        <f>IF(B24="","",IF(B24&lt;=$C$3,3,IF(B24&lt;=$E$3,2,1)))</f>
        <v/>
      </c>
      <c r="F24" s="10">
        <f>IF(C24="","",IF(C24&gt;=$C$4,3,IF(C24&gt;=$E$4,2,1)))</f>
        <v/>
      </c>
      <c r="G24" s="10">
        <f>IF(D24="","",IF(D24&gt;=$C$5,3,IF(D24&gt;=$E$5,2,1)))</f>
        <v/>
      </c>
      <c r="H24" s="10">
        <f>IF(E24="","",E24&amp;"-"&amp;F24&amp;"-"&amp;G24)</f>
        <v/>
      </c>
      <c r="I24" s="8">
        <f>IF(E24="","",CHOOSE(E24,"Churned","Dormant","Recent")&amp;", "&amp;CHOOSE(F24,"one-off","medium","frequent"))</f>
        <v/>
      </c>
    </row>
    <row r="25">
      <c r="A25" s="8" t="n"/>
      <c r="B25" s="8" t="n"/>
      <c r="C25" s="8" t="n"/>
      <c r="D25" s="9" t="n"/>
      <c r="E25" s="10">
        <f>IF(B25="","",IF(B25&lt;=$C$3,3,IF(B25&lt;=$E$3,2,1)))</f>
        <v/>
      </c>
      <c r="F25" s="10">
        <f>IF(C25="","",IF(C25&gt;=$C$4,3,IF(C25&gt;=$E$4,2,1)))</f>
        <v/>
      </c>
      <c r="G25" s="10">
        <f>IF(D25="","",IF(D25&gt;=$C$5,3,IF(D25&gt;=$E$5,2,1)))</f>
        <v/>
      </c>
      <c r="H25" s="10">
        <f>IF(E25="","",E25&amp;"-"&amp;F25&amp;"-"&amp;G25)</f>
        <v/>
      </c>
      <c r="I25" s="8">
        <f>IF(E25="","",CHOOSE(E25,"Churned","Dormant","Recent")&amp;", "&amp;CHOOSE(F25,"one-off","medium","frequent"))</f>
        <v/>
      </c>
    </row>
    <row r="26">
      <c r="A26" s="8" t="n"/>
      <c r="B26" s="8" t="n"/>
      <c r="C26" s="8" t="n"/>
      <c r="D26" s="9" t="n"/>
      <c r="E26" s="10">
        <f>IF(B26="","",IF(B26&lt;=$C$3,3,IF(B26&lt;=$E$3,2,1)))</f>
        <v/>
      </c>
      <c r="F26" s="10">
        <f>IF(C26="","",IF(C26&gt;=$C$4,3,IF(C26&gt;=$E$4,2,1)))</f>
        <v/>
      </c>
      <c r="G26" s="10">
        <f>IF(D26="","",IF(D26&gt;=$C$5,3,IF(D26&gt;=$E$5,2,1)))</f>
        <v/>
      </c>
      <c r="H26" s="10">
        <f>IF(E26="","",E26&amp;"-"&amp;F26&amp;"-"&amp;G26)</f>
        <v/>
      </c>
      <c r="I26" s="8">
        <f>IF(E26="","",CHOOSE(E26,"Churned","Dormant","Recent")&amp;", "&amp;CHOOSE(F26,"one-off","medium","frequent"))</f>
        <v/>
      </c>
    </row>
    <row r="27">
      <c r="A27" s="8" t="n"/>
      <c r="B27" s="8" t="n"/>
      <c r="C27" s="8" t="n"/>
      <c r="D27" s="9" t="n"/>
      <c r="E27" s="10">
        <f>IF(B27="","",IF(B27&lt;=$C$3,3,IF(B27&lt;=$E$3,2,1)))</f>
        <v/>
      </c>
      <c r="F27" s="10">
        <f>IF(C27="","",IF(C27&gt;=$C$4,3,IF(C27&gt;=$E$4,2,1)))</f>
        <v/>
      </c>
      <c r="G27" s="10">
        <f>IF(D27="","",IF(D27&gt;=$C$5,3,IF(D27&gt;=$E$5,2,1)))</f>
        <v/>
      </c>
      <c r="H27" s="10">
        <f>IF(E27="","",E27&amp;"-"&amp;F27&amp;"-"&amp;G27)</f>
        <v/>
      </c>
      <c r="I27" s="8">
        <f>IF(E27="","",CHOOSE(E27,"Churned","Dormant","Recent")&amp;", "&amp;CHOOSE(F27,"one-off","medium","frequent"))</f>
        <v/>
      </c>
    </row>
    <row r="28">
      <c r="A28" s="8" t="n"/>
      <c r="B28" s="8" t="n"/>
      <c r="C28" s="8" t="n"/>
      <c r="D28" s="9" t="n"/>
      <c r="E28" s="10">
        <f>IF(B28="","",IF(B28&lt;=$C$3,3,IF(B28&lt;=$E$3,2,1)))</f>
        <v/>
      </c>
      <c r="F28" s="10">
        <f>IF(C28="","",IF(C28&gt;=$C$4,3,IF(C28&gt;=$E$4,2,1)))</f>
        <v/>
      </c>
      <c r="G28" s="10">
        <f>IF(D28="","",IF(D28&gt;=$C$5,3,IF(D28&gt;=$E$5,2,1)))</f>
        <v/>
      </c>
      <c r="H28" s="10">
        <f>IF(E28="","",E28&amp;"-"&amp;F28&amp;"-"&amp;G28)</f>
        <v/>
      </c>
      <c r="I28" s="8">
        <f>IF(E28="","",CHOOSE(E28,"Churned","Dormant","Recent")&amp;", "&amp;CHOOSE(F28,"one-off","medium","frequent"))</f>
        <v/>
      </c>
    </row>
    <row r="29">
      <c r="A29" s="8" t="n"/>
      <c r="B29" s="8" t="n"/>
      <c r="C29" s="8" t="n"/>
      <c r="D29" s="9" t="n"/>
      <c r="E29" s="10">
        <f>IF(B29="","",IF(B29&lt;=$C$3,3,IF(B29&lt;=$E$3,2,1)))</f>
        <v/>
      </c>
      <c r="F29" s="10">
        <f>IF(C29="","",IF(C29&gt;=$C$4,3,IF(C29&gt;=$E$4,2,1)))</f>
        <v/>
      </c>
      <c r="G29" s="10">
        <f>IF(D29="","",IF(D29&gt;=$C$5,3,IF(D29&gt;=$E$5,2,1)))</f>
        <v/>
      </c>
      <c r="H29" s="10">
        <f>IF(E29="","",E29&amp;"-"&amp;F29&amp;"-"&amp;G29)</f>
        <v/>
      </c>
      <c r="I29" s="8">
        <f>IF(E29="","",CHOOSE(E29,"Churned","Dormant","Recent")&amp;", "&amp;CHOOSE(F29,"one-off","medium","frequent"))</f>
        <v/>
      </c>
    </row>
    <row r="30">
      <c r="A30" s="8" t="n"/>
      <c r="B30" s="8" t="n"/>
      <c r="C30" s="8" t="n"/>
      <c r="D30" s="9" t="n"/>
      <c r="E30" s="10">
        <f>IF(B30="","",IF(B30&lt;=$C$3,3,IF(B30&lt;=$E$3,2,1)))</f>
        <v/>
      </c>
      <c r="F30" s="10">
        <f>IF(C30="","",IF(C30&gt;=$C$4,3,IF(C30&gt;=$E$4,2,1)))</f>
        <v/>
      </c>
      <c r="G30" s="10">
        <f>IF(D30="","",IF(D30&gt;=$C$5,3,IF(D30&gt;=$E$5,2,1)))</f>
        <v/>
      </c>
      <c r="H30" s="10">
        <f>IF(E30="","",E30&amp;"-"&amp;F30&amp;"-"&amp;G30)</f>
        <v/>
      </c>
      <c r="I30" s="8">
        <f>IF(E30="","",CHOOSE(E30,"Churned","Dormant","Recent")&amp;", "&amp;CHOOSE(F30,"one-off","medium","frequent"))</f>
        <v/>
      </c>
    </row>
    <row r="31">
      <c r="A31" s="8" t="n"/>
      <c r="B31" s="8" t="n"/>
      <c r="C31" s="8" t="n"/>
      <c r="D31" s="9" t="n"/>
      <c r="E31" s="10">
        <f>IF(B31="","",IF(B31&lt;=$C$3,3,IF(B31&lt;=$E$3,2,1)))</f>
        <v/>
      </c>
      <c r="F31" s="10">
        <f>IF(C31="","",IF(C31&gt;=$C$4,3,IF(C31&gt;=$E$4,2,1)))</f>
        <v/>
      </c>
      <c r="G31" s="10">
        <f>IF(D31="","",IF(D31&gt;=$C$5,3,IF(D31&gt;=$E$5,2,1)))</f>
        <v/>
      </c>
      <c r="H31" s="10">
        <f>IF(E31="","",E31&amp;"-"&amp;F31&amp;"-"&amp;G31)</f>
        <v/>
      </c>
      <c r="I31" s="8">
        <f>IF(E31="","",CHOOSE(E31,"Churned","Dormant","Recent")&amp;", "&amp;CHOOSE(F31,"one-off","medium","frequent"))</f>
        <v/>
      </c>
    </row>
    <row r="32">
      <c r="A32" s="8" t="n"/>
      <c r="B32" s="8" t="n"/>
      <c r="C32" s="8" t="n"/>
      <c r="D32" s="9" t="n"/>
      <c r="E32" s="10">
        <f>IF(B32="","",IF(B32&lt;=$C$3,3,IF(B32&lt;=$E$3,2,1)))</f>
        <v/>
      </c>
      <c r="F32" s="10">
        <f>IF(C32="","",IF(C32&gt;=$C$4,3,IF(C32&gt;=$E$4,2,1)))</f>
        <v/>
      </c>
      <c r="G32" s="10">
        <f>IF(D32="","",IF(D32&gt;=$C$5,3,IF(D32&gt;=$E$5,2,1)))</f>
        <v/>
      </c>
      <c r="H32" s="10">
        <f>IF(E32="","",E32&amp;"-"&amp;F32&amp;"-"&amp;G32)</f>
        <v/>
      </c>
      <c r="I32" s="8">
        <f>IF(E32="","",CHOOSE(E32,"Churned","Dormant","Recent")&amp;", "&amp;CHOOSE(F32,"one-off","medium","frequent"))</f>
        <v/>
      </c>
    </row>
    <row r="33">
      <c r="A33" s="8" t="n"/>
      <c r="B33" s="8" t="n"/>
      <c r="C33" s="8" t="n"/>
      <c r="D33" s="9" t="n"/>
      <c r="E33" s="10">
        <f>IF(B33="","",IF(B33&lt;=$C$3,3,IF(B33&lt;=$E$3,2,1)))</f>
        <v/>
      </c>
      <c r="F33" s="10">
        <f>IF(C33="","",IF(C33&gt;=$C$4,3,IF(C33&gt;=$E$4,2,1)))</f>
        <v/>
      </c>
      <c r="G33" s="10">
        <f>IF(D33="","",IF(D33&gt;=$C$5,3,IF(D33&gt;=$E$5,2,1)))</f>
        <v/>
      </c>
      <c r="H33" s="10">
        <f>IF(E33="","",E33&amp;"-"&amp;F33&amp;"-"&amp;G33)</f>
        <v/>
      </c>
      <c r="I33" s="8">
        <f>IF(E33="","",CHOOSE(E33,"Churned","Dormant","Recent")&amp;", "&amp;CHOOSE(F33,"one-off","medium","frequent"))</f>
        <v/>
      </c>
    </row>
    <row r="34">
      <c r="A34" s="8" t="n"/>
      <c r="B34" s="8" t="n"/>
      <c r="C34" s="8" t="n"/>
      <c r="D34" s="9" t="n"/>
      <c r="E34" s="10">
        <f>IF(B34="","",IF(B34&lt;=$C$3,3,IF(B34&lt;=$E$3,2,1)))</f>
        <v/>
      </c>
      <c r="F34" s="10">
        <f>IF(C34="","",IF(C34&gt;=$C$4,3,IF(C34&gt;=$E$4,2,1)))</f>
        <v/>
      </c>
      <c r="G34" s="10">
        <f>IF(D34="","",IF(D34&gt;=$C$5,3,IF(D34&gt;=$E$5,2,1)))</f>
        <v/>
      </c>
      <c r="H34" s="10">
        <f>IF(E34="","",E34&amp;"-"&amp;F34&amp;"-"&amp;G34)</f>
        <v/>
      </c>
      <c r="I34" s="8">
        <f>IF(E34="","",CHOOSE(E34,"Churned","Dormant","Recent")&amp;", "&amp;CHOOSE(F34,"one-off","medium","frequent"))</f>
        <v/>
      </c>
    </row>
    <row r="35">
      <c r="A35" s="8" t="n"/>
      <c r="B35" s="8" t="n"/>
      <c r="C35" s="8" t="n"/>
      <c r="D35" s="9" t="n"/>
      <c r="E35" s="10">
        <f>IF(B35="","",IF(B35&lt;=$C$3,3,IF(B35&lt;=$E$3,2,1)))</f>
        <v/>
      </c>
      <c r="F35" s="10">
        <f>IF(C35="","",IF(C35&gt;=$C$4,3,IF(C35&gt;=$E$4,2,1)))</f>
        <v/>
      </c>
      <c r="G35" s="10">
        <f>IF(D35="","",IF(D35&gt;=$C$5,3,IF(D35&gt;=$E$5,2,1)))</f>
        <v/>
      </c>
      <c r="H35" s="10">
        <f>IF(E35="","",E35&amp;"-"&amp;F35&amp;"-"&amp;G35)</f>
        <v/>
      </c>
      <c r="I35" s="8">
        <f>IF(E35="","",CHOOSE(E35,"Churned","Dormant","Recent")&amp;", "&amp;CHOOSE(F35,"one-off","medium","frequent"))</f>
        <v/>
      </c>
    </row>
    <row r="36">
      <c r="A36" s="8" t="n"/>
      <c r="B36" s="8" t="n"/>
      <c r="C36" s="8" t="n"/>
      <c r="D36" s="9" t="n"/>
      <c r="E36" s="10">
        <f>IF(B36="","",IF(B36&lt;=$C$3,3,IF(B36&lt;=$E$3,2,1)))</f>
        <v/>
      </c>
      <c r="F36" s="10">
        <f>IF(C36="","",IF(C36&gt;=$C$4,3,IF(C36&gt;=$E$4,2,1)))</f>
        <v/>
      </c>
      <c r="G36" s="10">
        <f>IF(D36="","",IF(D36&gt;=$C$5,3,IF(D36&gt;=$E$5,2,1)))</f>
        <v/>
      </c>
      <c r="H36" s="10">
        <f>IF(E36="","",E36&amp;"-"&amp;F36&amp;"-"&amp;G36)</f>
        <v/>
      </c>
      <c r="I36" s="8">
        <f>IF(E36="","",CHOOSE(E36,"Churned","Dormant","Recent")&amp;", "&amp;CHOOSE(F36,"one-off","medium","frequent"))</f>
        <v/>
      </c>
    </row>
    <row r="37">
      <c r="A37" s="8" t="n"/>
      <c r="B37" s="8" t="n"/>
      <c r="C37" s="8" t="n"/>
      <c r="D37" s="9" t="n"/>
      <c r="E37" s="10">
        <f>IF(B37="","",IF(B37&lt;=$C$3,3,IF(B37&lt;=$E$3,2,1)))</f>
        <v/>
      </c>
      <c r="F37" s="10">
        <f>IF(C37="","",IF(C37&gt;=$C$4,3,IF(C37&gt;=$E$4,2,1)))</f>
        <v/>
      </c>
      <c r="G37" s="10">
        <f>IF(D37="","",IF(D37&gt;=$C$5,3,IF(D37&gt;=$E$5,2,1)))</f>
        <v/>
      </c>
      <c r="H37" s="10">
        <f>IF(E37="","",E37&amp;"-"&amp;F37&amp;"-"&amp;G37)</f>
        <v/>
      </c>
      <c r="I37" s="8">
        <f>IF(E37="","",CHOOSE(E37,"Churned","Dormant","Recent")&amp;", "&amp;CHOOSE(F37,"one-off","medium","frequent"))</f>
        <v/>
      </c>
    </row>
    <row r="38">
      <c r="A38" s="8" t="n"/>
      <c r="B38" s="8" t="n"/>
      <c r="C38" s="8" t="n"/>
      <c r="D38" s="9" t="n"/>
      <c r="E38" s="10">
        <f>IF(B38="","",IF(B38&lt;=$C$3,3,IF(B38&lt;=$E$3,2,1)))</f>
        <v/>
      </c>
      <c r="F38" s="10">
        <f>IF(C38="","",IF(C38&gt;=$C$4,3,IF(C38&gt;=$E$4,2,1)))</f>
        <v/>
      </c>
      <c r="G38" s="10">
        <f>IF(D38="","",IF(D38&gt;=$C$5,3,IF(D38&gt;=$E$5,2,1)))</f>
        <v/>
      </c>
      <c r="H38" s="10">
        <f>IF(E38="","",E38&amp;"-"&amp;F38&amp;"-"&amp;G38)</f>
        <v/>
      </c>
      <c r="I38" s="8">
        <f>IF(E38="","",CHOOSE(E38,"Churned","Dormant","Recent")&amp;", "&amp;CHOOSE(F38,"one-off","medium","frequent"))</f>
        <v/>
      </c>
    </row>
    <row r="39">
      <c r="A39" s="8" t="n"/>
      <c r="B39" s="8" t="n"/>
      <c r="C39" s="8" t="n"/>
      <c r="D39" s="9" t="n"/>
      <c r="E39" s="10">
        <f>IF(B39="","",IF(B39&lt;=$C$3,3,IF(B39&lt;=$E$3,2,1)))</f>
        <v/>
      </c>
      <c r="F39" s="10">
        <f>IF(C39="","",IF(C39&gt;=$C$4,3,IF(C39&gt;=$E$4,2,1)))</f>
        <v/>
      </c>
      <c r="G39" s="10">
        <f>IF(D39="","",IF(D39&gt;=$C$5,3,IF(D39&gt;=$E$5,2,1)))</f>
        <v/>
      </c>
      <c r="H39" s="10">
        <f>IF(E39="","",E39&amp;"-"&amp;F39&amp;"-"&amp;G39)</f>
        <v/>
      </c>
      <c r="I39" s="8">
        <f>IF(E39="","",CHOOSE(E39,"Churned","Dormant","Recent")&amp;", "&amp;CHOOSE(F39,"one-off","medium","frequent"))</f>
        <v/>
      </c>
    </row>
    <row r="40">
      <c r="A40" s="8" t="n"/>
      <c r="B40" s="8" t="n"/>
      <c r="C40" s="8" t="n"/>
      <c r="D40" s="9" t="n"/>
      <c r="E40" s="10">
        <f>IF(B40="","",IF(B40&lt;=$C$3,3,IF(B40&lt;=$E$3,2,1)))</f>
        <v/>
      </c>
      <c r="F40" s="10">
        <f>IF(C40="","",IF(C40&gt;=$C$4,3,IF(C40&gt;=$E$4,2,1)))</f>
        <v/>
      </c>
      <c r="G40" s="10">
        <f>IF(D40="","",IF(D40&gt;=$C$5,3,IF(D40&gt;=$E$5,2,1)))</f>
        <v/>
      </c>
      <c r="H40" s="10">
        <f>IF(E40="","",E40&amp;"-"&amp;F40&amp;"-"&amp;G40)</f>
        <v/>
      </c>
      <c r="I40" s="8">
        <f>IF(E40="","",CHOOSE(E40,"Churned","Dormant","Recent")&amp;", "&amp;CHOOSE(F40,"one-off","medium","frequent"))</f>
        <v/>
      </c>
    </row>
    <row r="41">
      <c r="A41" s="8" t="n"/>
      <c r="B41" s="8" t="n"/>
      <c r="C41" s="8" t="n"/>
      <c r="D41" s="9" t="n"/>
      <c r="E41" s="10">
        <f>IF(B41="","",IF(B41&lt;=$C$3,3,IF(B41&lt;=$E$3,2,1)))</f>
        <v/>
      </c>
      <c r="F41" s="10">
        <f>IF(C41="","",IF(C41&gt;=$C$4,3,IF(C41&gt;=$E$4,2,1)))</f>
        <v/>
      </c>
      <c r="G41" s="10">
        <f>IF(D41="","",IF(D41&gt;=$C$5,3,IF(D41&gt;=$E$5,2,1)))</f>
        <v/>
      </c>
      <c r="H41" s="10">
        <f>IF(E41="","",E41&amp;"-"&amp;F41&amp;"-"&amp;G41)</f>
        <v/>
      </c>
      <c r="I41" s="8">
        <f>IF(E41="","",CHOOSE(E41,"Churned","Dormant","Recent")&amp;", "&amp;CHOOSE(F41,"one-off","medium","frequent"))</f>
        <v/>
      </c>
    </row>
    <row r="42">
      <c r="A42" s="8" t="n"/>
      <c r="B42" s="8" t="n"/>
      <c r="C42" s="8" t="n"/>
      <c r="D42" s="9" t="n"/>
      <c r="E42" s="10">
        <f>IF(B42="","",IF(B42&lt;=$C$3,3,IF(B42&lt;=$E$3,2,1)))</f>
        <v/>
      </c>
      <c r="F42" s="10">
        <f>IF(C42="","",IF(C42&gt;=$C$4,3,IF(C42&gt;=$E$4,2,1)))</f>
        <v/>
      </c>
      <c r="G42" s="10">
        <f>IF(D42="","",IF(D42&gt;=$C$5,3,IF(D42&gt;=$E$5,2,1)))</f>
        <v/>
      </c>
      <c r="H42" s="10">
        <f>IF(E42="","",E42&amp;"-"&amp;F42&amp;"-"&amp;G42)</f>
        <v/>
      </c>
      <c r="I42" s="8">
        <f>IF(E42="","",CHOOSE(E42,"Churned","Dormant","Recent")&amp;", "&amp;CHOOSE(F42,"one-off","medium","frequent"))</f>
        <v/>
      </c>
    </row>
    <row r="43">
      <c r="A43" s="8" t="n"/>
      <c r="B43" s="8" t="n"/>
      <c r="C43" s="8" t="n"/>
      <c r="D43" s="9" t="n"/>
      <c r="E43" s="10">
        <f>IF(B43="","",IF(B43&lt;=$C$3,3,IF(B43&lt;=$E$3,2,1)))</f>
        <v/>
      </c>
      <c r="F43" s="10">
        <f>IF(C43="","",IF(C43&gt;=$C$4,3,IF(C43&gt;=$E$4,2,1)))</f>
        <v/>
      </c>
      <c r="G43" s="10">
        <f>IF(D43="","",IF(D43&gt;=$C$5,3,IF(D43&gt;=$E$5,2,1)))</f>
        <v/>
      </c>
      <c r="H43" s="10">
        <f>IF(E43="","",E43&amp;"-"&amp;F43&amp;"-"&amp;G43)</f>
        <v/>
      </c>
      <c r="I43" s="8">
        <f>IF(E43="","",CHOOSE(E43,"Churned","Dormant","Recent")&amp;", "&amp;CHOOSE(F43,"one-off","medium","frequent"))</f>
        <v/>
      </c>
    </row>
    <row r="44">
      <c r="A44" s="8" t="n"/>
      <c r="B44" s="8" t="n"/>
      <c r="C44" s="8" t="n"/>
      <c r="D44" s="9" t="n"/>
      <c r="E44" s="10">
        <f>IF(B44="","",IF(B44&lt;=$C$3,3,IF(B44&lt;=$E$3,2,1)))</f>
        <v/>
      </c>
      <c r="F44" s="10">
        <f>IF(C44="","",IF(C44&gt;=$C$4,3,IF(C44&gt;=$E$4,2,1)))</f>
        <v/>
      </c>
      <c r="G44" s="10">
        <f>IF(D44="","",IF(D44&gt;=$C$5,3,IF(D44&gt;=$E$5,2,1)))</f>
        <v/>
      </c>
      <c r="H44" s="10">
        <f>IF(E44="","",E44&amp;"-"&amp;F44&amp;"-"&amp;G44)</f>
        <v/>
      </c>
      <c r="I44" s="8">
        <f>IF(E44="","",CHOOSE(E44,"Churned","Dormant","Recent")&amp;", "&amp;CHOOSE(F44,"one-off","medium","frequent"))</f>
        <v/>
      </c>
    </row>
    <row r="45">
      <c r="A45" s="8" t="n"/>
      <c r="B45" s="8" t="n"/>
      <c r="C45" s="8" t="n"/>
      <c r="D45" s="9" t="n"/>
      <c r="E45" s="10">
        <f>IF(B45="","",IF(B45&lt;=$C$3,3,IF(B45&lt;=$E$3,2,1)))</f>
        <v/>
      </c>
      <c r="F45" s="10">
        <f>IF(C45="","",IF(C45&gt;=$C$4,3,IF(C45&gt;=$E$4,2,1)))</f>
        <v/>
      </c>
      <c r="G45" s="10">
        <f>IF(D45="","",IF(D45&gt;=$C$5,3,IF(D45&gt;=$E$5,2,1)))</f>
        <v/>
      </c>
      <c r="H45" s="10">
        <f>IF(E45="","",E45&amp;"-"&amp;F45&amp;"-"&amp;G45)</f>
        <v/>
      </c>
      <c r="I45" s="8">
        <f>IF(E45="","",CHOOSE(E45,"Churned","Dormant","Recent")&amp;", "&amp;CHOOSE(F45,"one-off","medium","frequent"))</f>
        <v/>
      </c>
    </row>
    <row r="46">
      <c r="A46" s="8" t="n"/>
      <c r="B46" s="8" t="n"/>
      <c r="C46" s="8" t="n"/>
      <c r="D46" s="9" t="n"/>
      <c r="E46" s="10">
        <f>IF(B46="","",IF(B46&lt;=$C$3,3,IF(B46&lt;=$E$3,2,1)))</f>
        <v/>
      </c>
      <c r="F46" s="10">
        <f>IF(C46="","",IF(C46&gt;=$C$4,3,IF(C46&gt;=$E$4,2,1)))</f>
        <v/>
      </c>
      <c r="G46" s="10">
        <f>IF(D46="","",IF(D46&gt;=$C$5,3,IF(D46&gt;=$E$5,2,1)))</f>
        <v/>
      </c>
      <c r="H46" s="10">
        <f>IF(E46="","",E46&amp;"-"&amp;F46&amp;"-"&amp;G46)</f>
        <v/>
      </c>
      <c r="I46" s="8">
        <f>IF(E46="","",CHOOSE(E46,"Churned","Dormant","Recent")&amp;", "&amp;CHOOSE(F46,"one-off","medium","frequent"))</f>
        <v/>
      </c>
    </row>
    <row r="47">
      <c r="A47" s="8" t="n"/>
      <c r="B47" s="8" t="n"/>
      <c r="C47" s="8" t="n"/>
      <c r="D47" s="9" t="n"/>
      <c r="E47" s="10">
        <f>IF(B47="","",IF(B47&lt;=$C$3,3,IF(B47&lt;=$E$3,2,1)))</f>
        <v/>
      </c>
      <c r="F47" s="10">
        <f>IF(C47="","",IF(C47&gt;=$C$4,3,IF(C47&gt;=$E$4,2,1)))</f>
        <v/>
      </c>
      <c r="G47" s="10">
        <f>IF(D47="","",IF(D47&gt;=$C$5,3,IF(D47&gt;=$E$5,2,1)))</f>
        <v/>
      </c>
      <c r="H47" s="10">
        <f>IF(E47="","",E47&amp;"-"&amp;F47&amp;"-"&amp;G47)</f>
        <v/>
      </c>
      <c r="I47" s="8">
        <f>IF(E47="","",CHOOSE(E47,"Churned","Dormant","Recent")&amp;", "&amp;CHOOSE(F47,"one-off","medium","frequent"))</f>
        <v/>
      </c>
    </row>
    <row r="48">
      <c r="A48" s="8" t="n"/>
      <c r="B48" s="8" t="n"/>
      <c r="C48" s="8" t="n"/>
      <c r="D48" s="9" t="n"/>
      <c r="E48" s="10">
        <f>IF(B48="","",IF(B48&lt;=$C$3,3,IF(B48&lt;=$E$3,2,1)))</f>
        <v/>
      </c>
      <c r="F48" s="10">
        <f>IF(C48="","",IF(C48&gt;=$C$4,3,IF(C48&gt;=$E$4,2,1)))</f>
        <v/>
      </c>
      <c r="G48" s="10">
        <f>IF(D48="","",IF(D48&gt;=$C$5,3,IF(D48&gt;=$E$5,2,1)))</f>
        <v/>
      </c>
      <c r="H48" s="10">
        <f>IF(E48="","",E48&amp;"-"&amp;F48&amp;"-"&amp;G48)</f>
        <v/>
      </c>
      <c r="I48" s="8">
        <f>IF(E48="","",CHOOSE(E48,"Churned","Dormant","Recent")&amp;", "&amp;CHOOSE(F48,"one-off","medium","frequent"))</f>
        <v/>
      </c>
    </row>
    <row r="49">
      <c r="A49" s="8" t="n"/>
      <c r="B49" s="8" t="n"/>
      <c r="C49" s="8" t="n"/>
      <c r="D49" s="9" t="n"/>
      <c r="E49" s="10">
        <f>IF(B49="","",IF(B49&lt;=$C$3,3,IF(B49&lt;=$E$3,2,1)))</f>
        <v/>
      </c>
      <c r="F49" s="10">
        <f>IF(C49="","",IF(C49&gt;=$C$4,3,IF(C49&gt;=$E$4,2,1)))</f>
        <v/>
      </c>
      <c r="G49" s="10">
        <f>IF(D49="","",IF(D49&gt;=$C$5,3,IF(D49&gt;=$E$5,2,1)))</f>
        <v/>
      </c>
      <c r="H49" s="10">
        <f>IF(E49="","",E49&amp;"-"&amp;F49&amp;"-"&amp;G49)</f>
        <v/>
      </c>
      <c r="I49" s="8">
        <f>IF(E49="","",CHOOSE(E49,"Churned","Dormant","Recent")&amp;", "&amp;CHOOSE(F49,"one-off","medium","frequent"))</f>
        <v/>
      </c>
    </row>
    <row r="50">
      <c r="A50" s="8" t="n"/>
      <c r="B50" s="8" t="n"/>
      <c r="C50" s="8" t="n"/>
      <c r="D50" s="9" t="n"/>
      <c r="E50" s="10">
        <f>IF(B50="","",IF(B50&lt;=$C$3,3,IF(B50&lt;=$E$3,2,1)))</f>
        <v/>
      </c>
      <c r="F50" s="10">
        <f>IF(C50="","",IF(C50&gt;=$C$4,3,IF(C50&gt;=$E$4,2,1)))</f>
        <v/>
      </c>
      <c r="G50" s="10">
        <f>IF(D50="","",IF(D50&gt;=$C$5,3,IF(D50&gt;=$E$5,2,1)))</f>
        <v/>
      </c>
      <c r="H50" s="10">
        <f>IF(E50="","",E50&amp;"-"&amp;F50&amp;"-"&amp;G50)</f>
        <v/>
      </c>
      <c r="I50" s="8">
        <f>IF(E50="","",CHOOSE(E50,"Churned","Dormant","Recent")&amp;", "&amp;CHOOSE(F50,"one-off","medium","frequent"))</f>
        <v/>
      </c>
    </row>
    <row r="51">
      <c r="A51" s="8" t="n"/>
      <c r="B51" s="8" t="n"/>
      <c r="C51" s="8" t="n"/>
      <c r="D51" s="9" t="n"/>
      <c r="E51" s="10">
        <f>IF(B51="","",IF(B51&lt;=$C$3,3,IF(B51&lt;=$E$3,2,1)))</f>
        <v/>
      </c>
      <c r="F51" s="10">
        <f>IF(C51="","",IF(C51&gt;=$C$4,3,IF(C51&gt;=$E$4,2,1)))</f>
        <v/>
      </c>
      <c r="G51" s="10">
        <f>IF(D51="","",IF(D51&gt;=$C$5,3,IF(D51&gt;=$E$5,2,1)))</f>
        <v/>
      </c>
      <c r="H51" s="10">
        <f>IF(E51="","",E51&amp;"-"&amp;F51&amp;"-"&amp;G51)</f>
        <v/>
      </c>
      <c r="I51" s="8">
        <f>IF(E51="","",CHOOSE(E51,"Churned","Dormant","Recent")&amp;", "&amp;CHOOSE(F51,"one-off","medium","frequent"))</f>
        <v/>
      </c>
    </row>
    <row r="52">
      <c r="A52" s="8" t="n"/>
      <c r="B52" s="8" t="n"/>
      <c r="C52" s="8" t="n"/>
      <c r="D52" s="9" t="n"/>
      <c r="E52" s="10">
        <f>IF(B52="","",IF(B52&lt;=$C$3,3,IF(B52&lt;=$E$3,2,1)))</f>
        <v/>
      </c>
      <c r="F52" s="10">
        <f>IF(C52="","",IF(C52&gt;=$C$4,3,IF(C52&gt;=$E$4,2,1)))</f>
        <v/>
      </c>
      <c r="G52" s="10">
        <f>IF(D52="","",IF(D52&gt;=$C$5,3,IF(D52&gt;=$E$5,2,1)))</f>
        <v/>
      </c>
      <c r="H52" s="10">
        <f>IF(E52="","",E52&amp;"-"&amp;F52&amp;"-"&amp;G52)</f>
        <v/>
      </c>
      <c r="I52" s="8">
        <f>IF(E52="","",CHOOSE(E52,"Churned","Dormant","Recent")&amp;", "&amp;CHOOSE(F52,"one-off","medium","frequent"))</f>
        <v/>
      </c>
    </row>
    <row r="53">
      <c r="A53" s="8" t="n"/>
      <c r="B53" s="8" t="n"/>
      <c r="C53" s="8" t="n"/>
      <c r="D53" s="9" t="n"/>
      <c r="E53" s="10">
        <f>IF(B53="","",IF(B53&lt;=$C$3,3,IF(B53&lt;=$E$3,2,1)))</f>
        <v/>
      </c>
      <c r="F53" s="10">
        <f>IF(C53="","",IF(C53&gt;=$C$4,3,IF(C53&gt;=$E$4,2,1)))</f>
        <v/>
      </c>
      <c r="G53" s="10">
        <f>IF(D53="","",IF(D53&gt;=$C$5,3,IF(D53&gt;=$E$5,2,1)))</f>
        <v/>
      </c>
      <c r="H53" s="10">
        <f>IF(E53="","",E53&amp;"-"&amp;F53&amp;"-"&amp;G53)</f>
        <v/>
      </c>
      <c r="I53" s="8">
        <f>IF(E53="","",CHOOSE(E53,"Churned","Dormant","Recent")&amp;", "&amp;CHOOSE(F53,"one-off","medium","frequent"))</f>
        <v/>
      </c>
    </row>
    <row r="54">
      <c r="A54" s="8" t="n"/>
      <c r="B54" s="8" t="n"/>
      <c r="C54" s="8" t="n"/>
      <c r="D54" s="9" t="n"/>
      <c r="E54" s="10">
        <f>IF(B54="","",IF(B54&lt;=$C$3,3,IF(B54&lt;=$E$3,2,1)))</f>
        <v/>
      </c>
      <c r="F54" s="10">
        <f>IF(C54="","",IF(C54&gt;=$C$4,3,IF(C54&gt;=$E$4,2,1)))</f>
        <v/>
      </c>
      <c r="G54" s="10">
        <f>IF(D54="","",IF(D54&gt;=$C$5,3,IF(D54&gt;=$E$5,2,1)))</f>
        <v/>
      </c>
      <c r="H54" s="10">
        <f>IF(E54="","",E54&amp;"-"&amp;F54&amp;"-"&amp;G54)</f>
        <v/>
      </c>
      <c r="I54" s="8">
        <f>IF(E54="","",CHOOSE(E54,"Churned","Dormant","Recent")&amp;", "&amp;CHOOSE(F54,"one-off","medium","frequent"))</f>
        <v/>
      </c>
    </row>
    <row r="55">
      <c r="A55" s="8" t="n"/>
      <c r="B55" s="8" t="n"/>
      <c r="C55" s="8" t="n"/>
      <c r="D55" s="9" t="n"/>
      <c r="E55" s="10">
        <f>IF(B55="","",IF(B55&lt;=$C$3,3,IF(B55&lt;=$E$3,2,1)))</f>
        <v/>
      </c>
      <c r="F55" s="10">
        <f>IF(C55="","",IF(C55&gt;=$C$4,3,IF(C55&gt;=$E$4,2,1)))</f>
        <v/>
      </c>
      <c r="G55" s="10">
        <f>IF(D55="","",IF(D55&gt;=$C$5,3,IF(D55&gt;=$E$5,2,1)))</f>
        <v/>
      </c>
      <c r="H55" s="10">
        <f>IF(E55="","",E55&amp;"-"&amp;F55&amp;"-"&amp;G55)</f>
        <v/>
      </c>
      <c r="I55" s="8">
        <f>IF(E55="","",CHOOSE(E55,"Churned","Dormant","Recent")&amp;", "&amp;CHOOSE(F55,"one-off","medium","frequent"))</f>
        <v/>
      </c>
    </row>
    <row r="56">
      <c r="A56" s="8" t="n"/>
      <c r="B56" s="8" t="n"/>
      <c r="C56" s="8" t="n"/>
      <c r="D56" s="9" t="n"/>
      <c r="E56" s="10">
        <f>IF(B56="","",IF(B56&lt;=$C$3,3,IF(B56&lt;=$E$3,2,1)))</f>
        <v/>
      </c>
      <c r="F56" s="10">
        <f>IF(C56="","",IF(C56&gt;=$C$4,3,IF(C56&gt;=$E$4,2,1)))</f>
        <v/>
      </c>
      <c r="G56" s="10">
        <f>IF(D56="","",IF(D56&gt;=$C$5,3,IF(D56&gt;=$E$5,2,1)))</f>
        <v/>
      </c>
      <c r="H56" s="10">
        <f>IF(E56="","",E56&amp;"-"&amp;F56&amp;"-"&amp;G56)</f>
        <v/>
      </c>
      <c r="I56" s="8">
        <f>IF(E56="","",CHOOSE(E56,"Churned","Dormant","Recent")&amp;", "&amp;CHOOSE(F56,"one-off","medium","frequent"))</f>
        <v/>
      </c>
    </row>
    <row r="57">
      <c r="A57" s="8" t="n"/>
      <c r="B57" s="8" t="n"/>
      <c r="C57" s="8" t="n"/>
      <c r="D57" s="9" t="n"/>
      <c r="E57" s="10">
        <f>IF(B57="","",IF(B57&lt;=$C$3,3,IF(B57&lt;=$E$3,2,1)))</f>
        <v/>
      </c>
      <c r="F57" s="10">
        <f>IF(C57="","",IF(C57&gt;=$C$4,3,IF(C57&gt;=$E$4,2,1)))</f>
        <v/>
      </c>
      <c r="G57" s="10">
        <f>IF(D57="","",IF(D57&gt;=$C$5,3,IF(D57&gt;=$E$5,2,1)))</f>
        <v/>
      </c>
      <c r="H57" s="10">
        <f>IF(E57="","",E57&amp;"-"&amp;F57&amp;"-"&amp;G57)</f>
        <v/>
      </c>
      <c r="I57" s="8">
        <f>IF(E57="","",CHOOSE(E57,"Churned","Dormant","Recent")&amp;", "&amp;CHOOSE(F57,"one-off","medium","frequent"))</f>
        <v/>
      </c>
    </row>
    <row r="58">
      <c r="A58" s="8" t="n"/>
      <c r="B58" s="8" t="n"/>
      <c r="C58" s="8" t="n"/>
      <c r="D58" s="9" t="n"/>
      <c r="E58" s="10">
        <f>IF(B58="","",IF(B58&lt;=$C$3,3,IF(B58&lt;=$E$3,2,1)))</f>
        <v/>
      </c>
      <c r="F58" s="10">
        <f>IF(C58="","",IF(C58&gt;=$C$4,3,IF(C58&gt;=$E$4,2,1)))</f>
        <v/>
      </c>
      <c r="G58" s="10">
        <f>IF(D58="","",IF(D58&gt;=$C$5,3,IF(D58&gt;=$E$5,2,1)))</f>
        <v/>
      </c>
      <c r="H58" s="10">
        <f>IF(E58="","",E58&amp;"-"&amp;F58&amp;"-"&amp;G58)</f>
        <v/>
      </c>
      <c r="I58" s="8">
        <f>IF(E58="","",CHOOSE(E58,"Churned","Dormant","Recent")&amp;", "&amp;CHOOSE(F58,"one-off","medium","frequent"))</f>
        <v/>
      </c>
    </row>
    <row r="59">
      <c r="A59" s="8" t="n"/>
      <c r="B59" s="8" t="n"/>
      <c r="C59" s="8" t="n"/>
      <c r="D59" s="9" t="n"/>
      <c r="E59" s="10">
        <f>IF(B59="","",IF(B59&lt;=$C$3,3,IF(B59&lt;=$E$3,2,1)))</f>
        <v/>
      </c>
      <c r="F59" s="10">
        <f>IF(C59="","",IF(C59&gt;=$C$4,3,IF(C59&gt;=$E$4,2,1)))</f>
        <v/>
      </c>
      <c r="G59" s="10">
        <f>IF(D59="","",IF(D59&gt;=$C$5,3,IF(D59&gt;=$E$5,2,1)))</f>
        <v/>
      </c>
      <c r="H59" s="10">
        <f>IF(E59="","",E59&amp;"-"&amp;F59&amp;"-"&amp;G59)</f>
        <v/>
      </c>
      <c r="I59" s="8">
        <f>IF(E59="","",CHOOSE(E59,"Churned","Dormant","Recent")&amp;", "&amp;CHOOSE(F59,"one-off","medium","frequent"))</f>
        <v/>
      </c>
    </row>
    <row r="60">
      <c r="A60" s="8" t="n"/>
      <c r="B60" s="8" t="n"/>
      <c r="C60" s="8" t="n"/>
      <c r="D60" s="9" t="n"/>
      <c r="E60" s="10">
        <f>IF(B60="","",IF(B60&lt;=$C$3,3,IF(B60&lt;=$E$3,2,1)))</f>
        <v/>
      </c>
      <c r="F60" s="10">
        <f>IF(C60="","",IF(C60&gt;=$C$4,3,IF(C60&gt;=$E$4,2,1)))</f>
        <v/>
      </c>
      <c r="G60" s="10">
        <f>IF(D60="","",IF(D60&gt;=$C$5,3,IF(D60&gt;=$E$5,2,1)))</f>
        <v/>
      </c>
      <c r="H60" s="10">
        <f>IF(E60="","",E60&amp;"-"&amp;F60&amp;"-"&amp;G60)</f>
        <v/>
      </c>
      <c r="I60" s="8">
        <f>IF(E60="","",CHOOSE(E60,"Churned","Dormant","Recent")&amp;", "&amp;CHOOSE(F60,"one-off","medium","frequent"))</f>
        <v/>
      </c>
    </row>
    <row r="61">
      <c r="A61" s="8" t="n"/>
      <c r="B61" s="8" t="n"/>
      <c r="C61" s="8" t="n"/>
      <c r="D61" s="9" t="n"/>
      <c r="E61" s="10">
        <f>IF(B61="","",IF(B61&lt;=$C$3,3,IF(B61&lt;=$E$3,2,1)))</f>
        <v/>
      </c>
      <c r="F61" s="10">
        <f>IF(C61="","",IF(C61&gt;=$C$4,3,IF(C61&gt;=$E$4,2,1)))</f>
        <v/>
      </c>
      <c r="G61" s="10">
        <f>IF(D61="","",IF(D61&gt;=$C$5,3,IF(D61&gt;=$E$5,2,1)))</f>
        <v/>
      </c>
      <c r="H61" s="10">
        <f>IF(E61="","",E61&amp;"-"&amp;F61&amp;"-"&amp;G61)</f>
        <v/>
      </c>
      <c r="I61" s="8">
        <f>IF(E61="","",CHOOSE(E61,"Churned","Dormant","Recent")&amp;", "&amp;CHOOSE(F61,"one-off","medium","frequent"))</f>
        <v/>
      </c>
    </row>
    <row r="62">
      <c r="A62" s="8" t="n"/>
      <c r="B62" s="8" t="n"/>
      <c r="C62" s="8" t="n"/>
      <c r="D62" s="9" t="n"/>
      <c r="E62" s="10">
        <f>IF(B62="","",IF(B62&lt;=$C$3,3,IF(B62&lt;=$E$3,2,1)))</f>
        <v/>
      </c>
      <c r="F62" s="10">
        <f>IF(C62="","",IF(C62&gt;=$C$4,3,IF(C62&gt;=$E$4,2,1)))</f>
        <v/>
      </c>
      <c r="G62" s="10">
        <f>IF(D62="","",IF(D62&gt;=$C$5,3,IF(D62&gt;=$E$5,2,1)))</f>
        <v/>
      </c>
      <c r="H62" s="10">
        <f>IF(E62="","",E62&amp;"-"&amp;F62&amp;"-"&amp;G62)</f>
        <v/>
      </c>
      <c r="I62" s="8">
        <f>IF(E62="","",CHOOSE(E62,"Churned","Dormant","Recent")&amp;", "&amp;CHOOSE(F62,"one-off","medium","frequent"))</f>
        <v/>
      </c>
    </row>
    <row r="63">
      <c r="A63" s="8" t="n"/>
      <c r="B63" s="8" t="n"/>
      <c r="C63" s="8" t="n"/>
      <c r="D63" s="9" t="n"/>
      <c r="E63" s="10">
        <f>IF(B63="","",IF(B63&lt;=$C$3,3,IF(B63&lt;=$E$3,2,1)))</f>
        <v/>
      </c>
      <c r="F63" s="10">
        <f>IF(C63="","",IF(C63&gt;=$C$4,3,IF(C63&gt;=$E$4,2,1)))</f>
        <v/>
      </c>
      <c r="G63" s="10">
        <f>IF(D63="","",IF(D63&gt;=$C$5,3,IF(D63&gt;=$E$5,2,1)))</f>
        <v/>
      </c>
      <c r="H63" s="10">
        <f>IF(E63="","",E63&amp;"-"&amp;F63&amp;"-"&amp;G63)</f>
        <v/>
      </c>
      <c r="I63" s="8">
        <f>IF(E63="","",CHOOSE(E63,"Churned","Dormant","Recent")&amp;", "&amp;CHOOSE(F63,"one-off","medium","frequent"))</f>
        <v/>
      </c>
    </row>
    <row r="64">
      <c r="A64" s="8" t="n"/>
      <c r="B64" s="8" t="n"/>
      <c r="C64" s="8" t="n"/>
      <c r="D64" s="9" t="n"/>
      <c r="E64" s="10">
        <f>IF(B64="","",IF(B64&lt;=$C$3,3,IF(B64&lt;=$E$3,2,1)))</f>
        <v/>
      </c>
      <c r="F64" s="10">
        <f>IF(C64="","",IF(C64&gt;=$C$4,3,IF(C64&gt;=$E$4,2,1)))</f>
        <v/>
      </c>
      <c r="G64" s="10">
        <f>IF(D64="","",IF(D64&gt;=$C$5,3,IF(D64&gt;=$E$5,2,1)))</f>
        <v/>
      </c>
      <c r="H64" s="10">
        <f>IF(E64="","",E64&amp;"-"&amp;F64&amp;"-"&amp;G64)</f>
        <v/>
      </c>
      <c r="I64" s="8">
        <f>IF(E64="","",CHOOSE(E64,"Churned","Dormant","Recent")&amp;", "&amp;CHOOSE(F64,"one-off","medium","frequent"))</f>
        <v/>
      </c>
    </row>
    <row r="65">
      <c r="A65" s="8" t="n"/>
      <c r="B65" s="8" t="n"/>
      <c r="C65" s="8" t="n"/>
      <c r="D65" s="9" t="n"/>
      <c r="E65" s="10">
        <f>IF(B65="","",IF(B65&lt;=$C$3,3,IF(B65&lt;=$E$3,2,1)))</f>
        <v/>
      </c>
      <c r="F65" s="10">
        <f>IF(C65="","",IF(C65&gt;=$C$4,3,IF(C65&gt;=$E$4,2,1)))</f>
        <v/>
      </c>
      <c r="G65" s="10">
        <f>IF(D65="","",IF(D65&gt;=$C$5,3,IF(D65&gt;=$E$5,2,1)))</f>
        <v/>
      </c>
      <c r="H65" s="10">
        <f>IF(E65="","",E65&amp;"-"&amp;F65&amp;"-"&amp;G65)</f>
        <v/>
      </c>
      <c r="I65" s="8">
        <f>IF(E65="","",CHOOSE(E65,"Churned","Dormant","Recent")&amp;", "&amp;CHOOSE(F65,"one-off","medium","frequent"))</f>
        <v/>
      </c>
    </row>
    <row r="66">
      <c r="A66" s="8" t="n"/>
      <c r="B66" s="8" t="n"/>
      <c r="C66" s="8" t="n"/>
      <c r="D66" s="9" t="n"/>
      <c r="E66" s="10">
        <f>IF(B66="","",IF(B66&lt;=$C$3,3,IF(B66&lt;=$E$3,2,1)))</f>
        <v/>
      </c>
      <c r="F66" s="10">
        <f>IF(C66="","",IF(C66&gt;=$C$4,3,IF(C66&gt;=$E$4,2,1)))</f>
        <v/>
      </c>
      <c r="G66" s="10">
        <f>IF(D66="","",IF(D66&gt;=$C$5,3,IF(D66&gt;=$E$5,2,1)))</f>
        <v/>
      </c>
      <c r="H66" s="10">
        <f>IF(E66="","",E66&amp;"-"&amp;F66&amp;"-"&amp;G66)</f>
        <v/>
      </c>
      <c r="I66" s="8">
        <f>IF(E66="","",CHOOSE(E66,"Churned","Dormant","Recent")&amp;", "&amp;CHOOSE(F66,"one-off","medium","frequent"))</f>
        <v/>
      </c>
    </row>
    <row r="67">
      <c r="A67" s="8" t="n"/>
      <c r="B67" s="8" t="n"/>
      <c r="C67" s="8" t="n"/>
      <c r="D67" s="9" t="n"/>
      <c r="E67" s="10">
        <f>IF(B67="","",IF(B67&lt;=$C$3,3,IF(B67&lt;=$E$3,2,1)))</f>
        <v/>
      </c>
      <c r="F67" s="10">
        <f>IF(C67="","",IF(C67&gt;=$C$4,3,IF(C67&gt;=$E$4,2,1)))</f>
        <v/>
      </c>
      <c r="G67" s="10">
        <f>IF(D67="","",IF(D67&gt;=$C$5,3,IF(D67&gt;=$E$5,2,1)))</f>
        <v/>
      </c>
      <c r="H67" s="10">
        <f>IF(E67="","",E67&amp;"-"&amp;F67&amp;"-"&amp;G67)</f>
        <v/>
      </c>
      <c r="I67" s="8">
        <f>IF(E67="","",CHOOSE(E67,"Churned","Dormant","Recent")&amp;", "&amp;CHOOSE(F67,"one-off","medium","frequent"))</f>
        <v/>
      </c>
    </row>
    <row r="68">
      <c r="A68" s="8" t="n"/>
      <c r="B68" s="8" t="n"/>
      <c r="C68" s="8" t="n"/>
      <c r="D68" s="9" t="n"/>
      <c r="E68" s="10">
        <f>IF(B68="","",IF(B68&lt;=$C$3,3,IF(B68&lt;=$E$3,2,1)))</f>
        <v/>
      </c>
      <c r="F68" s="10">
        <f>IF(C68="","",IF(C68&gt;=$C$4,3,IF(C68&gt;=$E$4,2,1)))</f>
        <v/>
      </c>
      <c r="G68" s="10">
        <f>IF(D68="","",IF(D68&gt;=$C$5,3,IF(D68&gt;=$E$5,2,1)))</f>
        <v/>
      </c>
      <c r="H68" s="10">
        <f>IF(E68="","",E68&amp;"-"&amp;F68&amp;"-"&amp;G68)</f>
        <v/>
      </c>
      <c r="I68" s="8">
        <f>IF(E68="","",CHOOSE(E68,"Churned","Dormant","Recent")&amp;", "&amp;CHOOSE(F68,"one-off","medium","frequent"))</f>
        <v/>
      </c>
    </row>
    <row r="69">
      <c r="A69" s="8" t="n"/>
      <c r="B69" s="8" t="n"/>
      <c r="C69" s="8" t="n"/>
      <c r="D69" s="9" t="n"/>
      <c r="E69" s="10">
        <f>IF(B69="","",IF(B69&lt;=$C$3,3,IF(B69&lt;=$E$3,2,1)))</f>
        <v/>
      </c>
      <c r="F69" s="10">
        <f>IF(C69="","",IF(C69&gt;=$C$4,3,IF(C69&gt;=$E$4,2,1)))</f>
        <v/>
      </c>
      <c r="G69" s="10">
        <f>IF(D69="","",IF(D69&gt;=$C$5,3,IF(D69&gt;=$E$5,2,1)))</f>
        <v/>
      </c>
      <c r="H69" s="10">
        <f>IF(E69="","",E69&amp;"-"&amp;F69&amp;"-"&amp;G69)</f>
        <v/>
      </c>
      <c r="I69" s="8">
        <f>IF(E69="","",CHOOSE(E69,"Churned","Dormant","Recent")&amp;", "&amp;CHOOSE(F69,"one-off","medium","frequent"))</f>
        <v/>
      </c>
    </row>
    <row r="70">
      <c r="A70" s="8" t="n"/>
      <c r="B70" s="8" t="n"/>
      <c r="C70" s="8" t="n"/>
      <c r="D70" s="9" t="n"/>
      <c r="E70" s="10">
        <f>IF(B70="","",IF(B70&lt;=$C$3,3,IF(B70&lt;=$E$3,2,1)))</f>
        <v/>
      </c>
      <c r="F70" s="10">
        <f>IF(C70="","",IF(C70&gt;=$C$4,3,IF(C70&gt;=$E$4,2,1)))</f>
        <v/>
      </c>
      <c r="G70" s="10">
        <f>IF(D70="","",IF(D70&gt;=$C$5,3,IF(D70&gt;=$E$5,2,1)))</f>
        <v/>
      </c>
      <c r="H70" s="10">
        <f>IF(E70="","",E70&amp;"-"&amp;F70&amp;"-"&amp;G70)</f>
        <v/>
      </c>
      <c r="I70" s="8">
        <f>IF(E70="","",CHOOSE(E70,"Churned","Dormant","Recent")&amp;", "&amp;CHOOSE(F70,"one-off","medium","frequent"))</f>
        <v/>
      </c>
    </row>
    <row r="71">
      <c r="A71" s="8" t="n"/>
      <c r="B71" s="8" t="n"/>
      <c r="C71" s="8" t="n"/>
      <c r="D71" s="9" t="n"/>
      <c r="E71" s="10">
        <f>IF(B71="","",IF(B71&lt;=$C$3,3,IF(B71&lt;=$E$3,2,1)))</f>
        <v/>
      </c>
      <c r="F71" s="10">
        <f>IF(C71="","",IF(C71&gt;=$C$4,3,IF(C71&gt;=$E$4,2,1)))</f>
        <v/>
      </c>
      <c r="G71" s="10">
        <f>IF(D71="","",IF(D71&gt;=$C$5,3,IF(D71&gt;=$E$5,2,1)))</f>
        <v/>
      </c>
      <c r="H71" s="10">
        <f>IF(E71="","",E71&amp;"-"&amp;F71&amp;"-"&amp;G71)</f>
        <v/>
      </c>
      <c r="I71" s="8">
        <f>IF(E71="","",CHOOSE(E71,"Churned","Dormant","Recent")&amp;", "&amp;CHOOSE(F71,"one-off","medium","frequent"))</f>
        <v/>
      </c>
    </row>
    <row r="72">
      <c r="A72" s="8" t="n"/>
      <c r="B72" s="8" t="n"/>
      <c r="C72" s="8" t="n"/>
      <c r="D72" s="9" t="n"/>
      <c r="E72" s="10">
        <f>IF(B72="","",IF(B72&lt;=$C$3,3,IF(B72&lt;=$E$3,2,1)))</f>
        <v/>
      </c>
      <c r="F72" s="10">
        <f>IF(C72="","",IF(C72&gt;=$C$4,3,IF(C72&gt;=$E$4,2,1)))</f>
        <v/>
      </c>
      <c r="G72" s="10">
        <f>IF(D72="","",IF(D72&gt;=$C$5,3,IF(D72&gt;=$E$5,2,1)))</f>
        <v/>
      </c>
      <c r="H72" s="10">
        <f>IF(E72="","",E72&amp;"-"&amp;F72&amp;"-"&amp;G72)</f>
        <v/>
      </c>
      <c r="I72" s="8">
        <f>IF(E72="","",CHOOSE(E72,"Churned","Dormant","Recent")&amp;", "&amp;CHOOSE(F72,"one-off","medium","frequent"))</f>
        <v/>
      </c>
    </row>
    <row r="73">
      <c r="A73" s="8" t="n"/>
      <c r="B73" s="8" t="n"/>
      <c r="C73" s="8" t="n"/>
      <c r="D73" s="9" t="n"/>
      <c r="E73" s="10">
        <f>IF(B73="","",IF(B73&lt;=$C$3,3,IF(B73&lt;=$E$3,2,1)))</f>
        <v/>
      </c>
      <c r="F73" s="10">
        <f>IF(C73="","",IF(C73&gt;=$C$4,3,IF(C73&gt;=$E$4,2,1)))</f>
        <v/>
      </c>
      <c r="G73" s="10">
        <f>IF(D73="","",IF(D73&gt;=$C$5,3,IF(D73&gt;=$E$5,2,1)))</f>
        <v/>
      </c>
      <c r="H73" s="10">
        <f>IF(E73="","",E73&amp;"-"&amp;F73&amp;"-"&amp;G73)</f>
        <v/>
      </c>
      <c r="I73" s="8">
        <f>IF(E73="","",CHOOSE(E73,"Churned","Dormant","Recent")&amp;", "&amp;CHOOSE(F73,"one-off","medium","frequent"))</f>
        <v/>
      </c>
    </row>
    <row r="74">
      <c r="A74" s="8" t="n"/>
      <c r="B74" s="8" t="n"/>
      <c r="C74" s="8" t="n"/>
      <c r="D74" s="9" t="n"/>
      <c r="E74" s="10">
        <f>IF(B74="","",IF(B74&lt;=$C$3,3,IF(B74&lt;=$E$3,2,1)))</f>
        <v/>
      </c>
      <c r="F74" s="10">
        <f>IF(C74="","",IF(C74&gt;=$C$4,3,IF(C74&gt;=$E$4,2,1)))</f>
        <v/>
      </c>
      <c r="G74" s="10">
        <f>IF(D74="","",IF(D74&gt;=$C$5,3,IF(D74&gt;=$E$5,2,1)))</f>
        <v/>
      </c>
      <c r="H74" s="10">
        <f>IF(E74="","",E74&amp;"-"&amp;F74&amp;"-"&amp;G74)</f>
        <v/>
      </c>
      <c r="I74" s="8">
        <f>IF(E74="","",CHOOSE(E74,"Churned","Dormant","Recent")&amp;", "&amp;CHOOSE(F74,"one-off","medium","frequent"))</f>
        <v/>
      </c>
    </row>
    <row r="75">
      <c r="A75" s="8" t="n"/>
      <c r="B75" s="8" t="n"/>
      <c r="C75" s="8" t="n"/>
      <c r="D75" s="9" t="n"/>
      <c r="E75" s="10">
        <f>IF(B75="","",IF(B75&lt;=$C$3,3,IF(B75&lt;=$E$3,2,1)))</f>
        <v/>
      </c>
      <c r="F75" s="10">
        <f>IF(C75="","",IF(C75&gt;=$C$4,3,IF(C75&gt;=$E$4,2,1)))</f>
        <v/>
      </c>
      <c r="G75" s="10">
        <f>IF(D75="","",IF(D75&gt;=$C$5,3,IF(D75&gt;=$E$5,2,1)))</f>
        <v/>
      </c>
      <c r="H75" s="10">
        <f>IF(E75="","",E75&amp;"-"&amp;F75&amp;"-"&amp;G75)</f>
        <v/>
      </c>
      <c r="I75" s="8">
        <f>IF(E75="","",CHOOSE(E75,"Churned","Dormant","Recent")&amp;", "&amp;CHOOSE(F75,"one-off","medium","frequent"))</f>
        <v/>
      </c>
    </row>
    <row r="76">
      <c r="A76" s="8" t="n"/>
      <c r="B76" s="8" t="n"/>
      <c r="C76" s="8" t="n"/>
      <c r="D76" s="9" t="n"/>
      <c r="E76" s="10">
        <f>IF(B76="","",IF(B76&lt;=$C$3,3,IF(B76&lt;=$E$3,2,1)))</f>
        <v/>
      </c>
      <c r="F76" s="10">
        <f>IF(C76="","",IF(C76&gt;=$C$4,3,IF(C76&gt;=$E$4,2,1)))</f>
        <v/>
      </c>
      <c r="G76" s="10">
        <f>IF(D76="","",IF(D76&gt;=$C$5,3,IF(D76&gt;=$E$5,2,1)))</f>
        <v/>
      </c>
      <c r="H76" s="10">
        <f>IF(E76="","",E76&amp;"-"&amp;F76&amp;"-"&amp;G76)</f>
        <v/>
      </c>
      <c r="I76" s="8">
        <f>IF(E76="","",CHOOSE(E76,"Churned","Dormant","Recent")&amp;", "&amp;CHOOSE(F76,"one-off","medium","frequent"))</f>
        <v/>
      </c>
    </row>
    <row r="77">
      <c r="A77" s="8" t="n"/>
      <c r="B77" s="8" t="n"/>
      <c r="C77" s="8" t="n"/>
      <c r="D77" s="9" t="n"/>
      <c r="E77" s="10">
        <f>IF(B77="","",IF(B77&lt;=$C$3,3,IF(B77&lt;=$E$3,2,1)))</f>
        <v/>
      </c>
      <c r="F77" s="10">
        <f>IF(C77="","",IF(C77&gt;=$C$4,3,IF(C77&gt;=$E$4,2,1)))</f>
        <v/>
      </c>
      <c r="G77" s="10">
        <f>IF(D77="","",IF(D77&gt;=$C$5,3,IF(D77&gt;=$E$5,2,1)))</f>
        <v/>
      </c>
      <c r="H77" s="10">
        <f>IF(E77="","",E77&amp;"-"&amp;F77&amp;"-"&amp;G77)</f>
        <v/>
      </c>
      <c r="I77" s="8">
        <f>IF(E77="","",CHOOSE(E77,"Churned","Dormant","Recent")&amp;", "&amp;CHOOSE(F77,"one-off","medium","frequent"))</f>
        <v/>
      </c>
    </row>
    <row r="78">
      <c r="A78" s="8" t="n"/>
      <c r="B78" s="8" t="n"/>
      <c r="C78" s="8" t="n"/>
      <c r="D78" s="9" t="n"/>
      <c r="E78" s="10">
        <f>IF(B78="","",IF(B78&lt;=$C$3,3,IF(B78&lt;=$E$3,2,1)))</f>
        <v/>
      </c>
      <c r="F78" s="10">
        <f>IF(C78="","",IF(C78&gt;=$C$4,3,IF(C78&gt;=$E$4,2,1)))</f>
        <v/>
      </c>
      <c r="G78" s="10">
        <f>IF(D78="","",IF(D78&gt;=$C$5,3,IF(D78&gt;=$E$5,2,1)))</f>
        <v/>
      </c>
      <c r="H78" s="10">
        <f>IF(E78="","",E78&amp;"-"&amp;F78&amp;"-"&amp;G78)</f>
        <v/>
      </c>
      <c r="I78" s="8">
        <f>IF(E78="","",CHOOSE(E78,"Churned","Dormant","Recent")&amp;", "&amp;CHOOSE(F78,"one-off","medium","frequent"))</f>
        <v/>
      </c>
    </row>
    <row r="79">
      <c r="A79" s="8" t="n"/>
      <c r="B79" s="8" t="n"/>
      <c r="C79" s="8" t="n"/>
      <c r="D79" s="9" t="n"/>
      <c r="E79" s="10">
        <f>IF(B79="","",IF(B79&lt;=$C$3,3,IF(B79&lt;=$E$3,2,1)))</f>
        <v/>
      </c>
      <c r="F79" s="10">
        <f>IF(C79="","",IF(C79&gt;=$C$4,3,IF(C79&gt;=$E$4,2,1)))</f>
        <v/>
      </c>
      <c r="G79" s="10">
        <f>IF(D79="","",IF(D79&gt;=$C$5,3,IF(D79&gt;=$E$5,2,1)))</f>
        <v/>
      </c>
      <c r="H79" s="10">
        <f>IF(E79="","",E79&amp;"-"&amp;F79&amp;"-"&amp;G79)</f>
        <v/>
      </c>
      <c r="I79" s="8">
        <f>IF(E79="","",CHOOSE(E79,"Churned","Dormant","Recent")&amp;", "&amp;CHOOSE(F79,"one-off","medium","frequent"))</f>
        <v/>
      </c>
    </row>
    <row r="80">
      <c r="A80" s="8" t="n"/>
      <c r="B80" s="8" t="n"/>
      <c r="C80" s="8" t="n"/>
      <c r="D80" s="9" t="n"/>
      <c r="E80" s="10">
        <f>IF(B80="","",IF(B80&lt;=$C$3,3,IF(B80&lt;=$E$3,2,1)))</f>
        <v/>
      </c>
      <c r="F80" s="10">
        <f>IF(C80="","",IF(C80&gt;=$C$4,3,IF(C80&gt;=$E$4,2,1)))</f>
        <v/>
      </c>
      <c r="G80" s="10">
        <f>IF(D80="","",IF(D80&gt;=$C$5,3,IF(D80&gt;=$E$5,2,1)))</f>
        <v/>
      </c>
      <c r="H80" s="10">
        <f>IF(E80="","",E80&amp;"-"&amp;F80&amp;"-"&amp;G80)</f>
        <v/>
      </c>
      <c r="I80" s="8">
        <f>IF(E80="","",CHOOSE(E80,"Churned","Dormant","Recent")&amp;", "&amp;CHOOSE(F80,"one-off","medium","frequent"))</f>
        <v/>
      </c>
    </row>
    <row r="81">
      <c r="A81" s="8" t="n"/>
      <c r="B81" s="8" t="n"/>
      <c r="C81" s="8" t="n"/>
      <c r="D81" s="9" t="n"/>
      <c r="E81" s="10">
        <f>IF(B81="","",IF(B81&lt;=$C$3,3,IF(B81&lt;=$E$3,2,1)))</f>
        <v/>
      </c>
      <c r="F81" s="10">
        <f>IF(C81="","",IF(C81&gt;=$C$4,3,IF(C81&gt;=$E$4,2,1)))</f>
        <v/>
      </c>
      <c r="G81" s="10">
        <f>IF(D81="","",IF(D81&gt;=$C$5,3,IF(D81&gt;=$E$5,2,1)))</f>
        <v/>
      </c>
      <c r="H81" s="10">
        <f>IF(E81="","",E81&amp;"-"&amp;F81&amp;"-"&amp;G81)</f>
        <v/>
      </c>
      <c r="I81" s="8">
        <f>IF(E81="","",CHOOSE(E81,"Churned","Dormant","Recent")&amp;", "&amp;CHOOSE(F81,"one-off","medium","frequent"))</f>
        <v/>
      </c>
    </row>
    <row r="82">
      <c r="A82" s="8" t="n"/>
      <c r="B82" s="8" t="n"/>
      <c r="C82" s="8" t="n"/>
      <c r="D82" s="9" t="n"/>
      <c r="E82" s="10">
        <f>IF(B82="","",IF(B82&lt;=$C$3,3,IF(B82&lt;=$E$3,2,1)))</f>
        <v/>
      </c>
      <c r="F82" s="10">
        <f>IF(C82="","",IF(C82&gt;=$C$4,3,IF(C82&gt;=$E$4,2,1)))</f>
        <v/>
      </c>
      <c r="G82" s="10">
        <f>IF(D82="","",IF(D82&gt;=$C$5,3,IF(D82&gt;=$E$5,2,1)))</f>
        <v/>
      </c>
      <c r="H82" s="10">
        <f>IF(E82="","",E82&amp;"-"&amp;F82&amp;"-"&amp;G82)</f>
        <v/>
      </c>
      <c r="I82" s="8">
        <f>IF(E82="","",CHOOSE(E82,"Churned","Dormant","Recent")&amp;", "&amp;CHOOSE(F82,"one-off","medium","frequent"))</f>
        <v/>
      </c>
    </row>
    <row r="83">
      <c r="A83" s="8" t="n"/>
      <c r="B83" s="8" t="n"/>
      <c r="C83" s="8" t="n"/>
      <c r="D83" s="9" t="n"/>
      <c r="E83" s="10">
        <f>IF(B83="","",IF(B83&lt;=$C$3,3,IF(B83&lt;=$E$3,2,1)))</f>
        <v/>
      </c>
      <c r="F83" s="10">
        <f>IF(C83="","",IF(C83&gt;=$C$4,3,IF(C83&gt;=$E$4,2,1)))</f>
        <v/>
      </c>
      <c r="G83" s="10">
        <f>IF(D83="","",IF(D83&gt;=$C$5,3,IF(D83&gt;=$E$5,2,1)))</f>
        <v/>
      </c>
      <c r="H83" s="10">
        <f>IF(E83="","",E83&amp;"-"&amp;F83&amp;"-"&amp;G83)</f>
        <v/>
      </c>
      <c r="I83" s="8">
        <f>IF(E83="","",CHOOSE(E83,"Churned","Dormant","Recent")&amp;", "&amp;CHOOSE(F83,"one-off","medium","frequent"))</f>
        <v/>
      </c>
    </row>
    <row r="84">
      <c r="A84" s="8" t="n"/>
      <c r="B84" s="8" t="n"/>
      <c r="C84" s="8" t="n"/>
      <c r="D84" s="9" t="n"/>
      <c r="E84" s="10">
        <f>IF(B84="","",IF(B84&lt;=$C$3,3,IF(B84&lt;=$E$3,2,1)))</f>
        <v/>
      </c>
      <c r="F84" s="10">
        <f>IF(C84="","",IF(C84&gt;=$C$4,3,IF(C84&gt;=$E$4,2,1)))</f>
        <v/>
      </c>
      <c r="G84" s="10">
        <f>IF(D84="","",IF(D84&gt;=$C$5,3,IF(D84&gt;=$E$5,2,1)))</f>
        <v/>
      </c>
      <c r="H84" s="10">
        <f>IF(E84="","",E84&amp;"-"&amp;F84&amp;"-"&amp;G84)</f>
        <v/>
      </c>
      <c r="I84" s="8">
        <f>IF(E84="","",CHOOSE(E84,"Churned","Dormant","Recent")&amp;", "&amp;CHOOSE(F84,"one-off","medium","frequent"))</f>
        <v/>
      </c>
    </row>
    <row r="85">
      <c r="A85" s="8" t="n"/>
      <c r="B85" s="8" t="n"/>
      <c r="C85" s="8" t="n"/>
      <c r="D85" s="9" t="n"/>
      <c r="E85" s="10">
        <f>IF(B85="","",IF(B85&lt;=$C$3,3,IF(B85&lt;=$E$3,2,1)))</f>
        <v/>
      </c>
      <c r="F85" s="10">
        <f>IF(C85="","",IF(C85&gt;=$C$4,3,IF(C85&gt;=$E$4,2,1)))</f>
        <v/>
      </c>
      <c r="G85" s="10">
        <f>IF(D85="","",IF(D85&gt;=$C$5,3,IF(D85&gt;=$E$5,2,1)))</f>
        <v/>
      </c>
      <c r="H85" s="10">
        <f>IF(E85="","",E85&amp;"-"&amp;F85&amp;"-"&amp;G85)</f>
        <v/>
      </c>
      <c r="I85" s="8">
        <f>IF(E85="","",CHOOSE(E85,"Churned","Dormant","Recent")&amp;", "&amp;CHOOSE(F85,"one-off","medium","frequent"))</f>
        <v/>
      </c>
    </row>
    <row r="86">
      <c r="A86" s="8" t="n"/>
      <c r="B86" s="8" t="n"/>
      <c r="C86" s="8" t="n"/>
      <c r="D86" s="9" t="n"/>
      <c r="E86" s="10">
        <f>IF(B86="","",IF(B86&lt;=$C$3,3,IF(B86&lt;=$E$3,2,1)))</f>
        <v/>
      </c>
      <c r="F86" s="10">
        <f>IF(C86="","",IF(C86&gt;=$C$4,3,IF(C86&gt;=$E$4,2,1)))</f>
        <v/>
      </c>
      <c r="G86" s="10">
        <f>IF(D86="","",IF(D86&gt;=$C$5,3,IF(D86&gt;=$E$5,2,1)))</f>
        <v/>
      </c>
      <c r="H86" s="10">
        <f>IF(E86="","",E86&amp;"-"&amp;F86&amp;"-"&amp;G86)</f>
        <v/>
      </c>
      <c r="I86" s="8">
        <f>IF(E86="","",CHOOSE(E86,"Churned","Dormant","Recent")&amp;", "&amp;CHOOSE(F86,"one-off","medium","frequent"))</f>
        <v/>
      </c>
    </row>
    <row r="87">
      <c r="A87" s="8" t="n"/>
      <c r="B87" s="8" t="n"/>
      <c r="C87" s="8" t="n"/>
      <c r="D87" s="9" t="n"/>
      <c r="E87" s="10">
        <f>IF(B87="","",IF(B87&lt;=$C$3,3,IF(B87&lt;=$E$3,2,1)))</f>
        <v/>
      </c>
      <c r="F87" s="10">
        <f>IF(C87="","",IF(C87&gt;=$C$4,3,IF(C87&gt;=$E$4,2,1)))</f>
        <v/>
      </c>
      <c r="G87" s="10">
        <f>IF(D87="","",IF(D87&gt;=$C$5,3,IF(D87&gt;=$E$5,2,1)))</f>
        <v/>
      </c>
      <c r="H87" s="10">
        <f>IF(E87="","",E87&amp;"-"&amp;F87&amp;"-"&amp;G87)</f>
        <v/>
      </c>
      <c r="I87" s="8">
        <f>IF(E87="","",CHOOSE(E87,"Churned","Dormant","Recent")&amp;", "&amp;CHOOSE(F87,"one-off","medium","frequent"))</f>
        <v/>
      </c>
    </row>
    <row r="88">
      <c r="A88" s="8" t="n"/>
      <c r="B88" s="8" t="n"/>
      <c r="C88" s="8" t="n"/>
      <c r="D88" s="9" t="n"/>
      <c r="E88" s="10">
        <f>IF(B88="","",IF(B88&lt;=$C$3,3,IF(B88&lt;=$E$3,2,1)))</f>
        <v/>
      </c>
      <c r="F88" s="10">
        <f>IF(C88="","",IF(C88&gt;=$C$4,3,IF(C88&gt;=$E$4,2,1)))</f>
        <v/>
      </c>
      <c r="G88" s="10">
        <f>IF(D88="","",IF(D88&gt;=$C$5,3,IF(D88&gt;=$E$5,2,1)))</f>
        <v/>
      </c>
      <c r="H88" s="10">
        <f>IF(E88="","",E88&amp;"-"&amp;F88&amp;"-"&amp;G88)</f>
        <v/>
      </c>
      <c r="I88" s="8">
        <f>IF(E88="","",CHOOSE(E88,"Churned","Dormant","Recent")&amp;", "&amp;CHOOSE(F88,"one-off","medium","frequent"))</f>
        <v/>
      </c>
    </row>
    <row r="89">
      <c r="A89" s="8" t="n"/>
      <c r="B89" s="8" t="n"/>
      <c r="C89" s="8" t="n"/>
      <c r="D89" s="9" t="n"/>
      <c r="E89" s="10">
        <f>IF(B89="","",IF(B89&lt;=$C$3,3,IF(B89&lt;=$E$3,2,1)))</f>
        <v/>
      </c>
      <c r="F89" s="10">
        <f>IF(C89="","",IF(C89&gt;=$C$4,3,IF(C89&gt;=$E$4,2,1)))</f>
        <v/>
      </c>
      <c r="G89" s="10">
        <f>IF(D89="","",IF(D89&gt;=$C$5,3,IF(D89&gt;=$E$5,2,1)))</f>
        <v/>
      </c>
      <c r="H89" s="10">
        <f>IF(E89="","",E89&amp;"-"&amp;F89&amp;"-"&amp;G89)</f>
        <v/>
      </c>
      <c r="I89" s="8">
        <f>IF(E89="","",CHOOSE(E89,"Churned","Dormant","Recent")&amp;", "&amp;CHOOSE(F89,"one-off","medium","frequent"))</f>
        <v/>
      </c>
    </row>
    <row r="90">
      <c r="A90" s="8" t="n"/>
      <c r="B90" s="8" t="n"/>
      <c r="C90" s="8" t="n"/>
      <c r="D90" s="9" t="n"/>
      <c r="E90" s="10">
        <f>IF(B90="","",IF(B90&lt;=$C$3,3,IF(B90&lt;=$E$3,2,1)))</f>
        <v/>
      </c>
      <c r="F90" s="10">
        <f>IF(C90="","",IF(C90&gt;=$C$4,3,IF(C90&gt;=$E$4,2,1)))</f>
        <v/>
      </c>
      <c r="G90" s="10">
        <f>IF(D90="","",IF(D90&gt;=$C$5,3,IF(D90&gt;=$E$5,2,1)))</f>
        <v/>
      </c>
      <c r="H90" s="10">
        <f>IF(E90="","",E90&amp;"-"&amp;F90&amp;"-"&amp;G90)</f>
        <v/>
      </c>
      <c r="I90" s="8">
        <f>IF(E90="","",CHOOSE(E90,"Churned","Dormant","Recent")&amp;", "&amp;CHOOSE(F90,"one-off","medium","frequent"))</f>
        <v/>
      </c>
    </row>
    <row r="91">
      <c r="A91" s="8" t="n"/>
      <c r="B91" s="8" t="n"/>
      <c r="C91" s="8" t="n"/>
      <c r="D91" s="9" t="n"/>
      <c r="E91" s="10">
        <f>IF(B91="","",IF(B91&lt;=$C$3,3,IF(B91&lt;=$E$3,2,1)))</f>
        <v/>
      </c>
      <c r="F91" s="10">
        <f>IF(C91="","",IF(C91&gt;=$C$4,3,IF(C91&gt;=$E$4,2,1)))</f>
        <v/>
      </c>
      <c r="G91" s="10">
        <f>IF(D91="","",IF(D91&gt;=$C$5,3,IF(D91&gt;=$E$5,2,1)))</f>
        <v/>
      </c>
      <c r="H91" s="10">
        <f>IF(E91="","",E91&amp;"-"&amp;F91&amp;"-"&amp;G91)</f>
        <v/>
      </c>
      <c r="I91" s="8">
        <f>IF(E91="","",CHOOSE(E91,"Churned","Dormant","Recent")&amp;", "&amp;CHOOSE(F91,"one-off","medium","frequent"))</f>
        <v/>
      </c>
    </row>
    <row r="92">
      <c r="A92" s="8" t="n"/>
      <c r="B92" s="8" t="n"/>
      <c r="C92" s="8" t="n"/>
      <c r="D92" s="9" t="n"/>
      <c r="E92" s="10">
        <f>IF(B92="","",IF(B92&lt;=$C$3,3,IF(B92&lt;=$E$3,2,1)))</f>
        <v/>
      </c>
      <c r="F92" s="10">
        <f>IF(C92="","",IF(C92&gt;=$C$4,3,IF(C92&gt;=$E$4,2,1)))</f>
        <v/>
      </c>
      <c r="G92" s="10">
        <f>IF(D92="","",IF(D92&gt;=$C$5,3,IF(D92&gt;=$E$5,2,1)))</f>
        <v/>
      </c>
      <c r="H92" s="10">
        <f>IF(E92="","",E92&amp;"-"&amp;F92&amp;"-"&amp;G92)</f>
        <v/>
      </c>
      <c r="I92" s="8">
        <f>IF(E92="","",CHOOSE(E92,"Churned","Dormant","Recent")&amp;", "&amp;CHOOSE(F92,"one-off","medium","frequent"))</f>
        <v/>
      </c>
    </row>
    <row r="93">
      <c r="A93" s="8" t="n"/>
      <c r="B93" s="8" t="n"/>
      <c r="C93" s="8" t="n"/>
      <c r="D93" s="9" t="n"/>
      <c r="E93" s="10">
        <f>IF(B93="","",IF(B93&lt;=$C$3,3,IF(B93&lt;=$E$3,2,1)))</f>
        <v/>
      </c>
      <c r="F93" s="10">
        <f>IF(C93="","",IF(C93&gt;=$C$4,3,IF(C93&gt;=$E$4,2,1)))</f>
        <v/>
      </c>
      <c r="G93" s="10">
        <f>IF(D93="","",IF(D93&gt;=$C$5,3,IF(D93&gt;=$E$5,2,1)))</f>
        <v/>
      </c>
      <c r="H93" s="10">
        <f>IF(E93="","",E93&amp;"-"&amp;F93&amp;"-"&amp;G93)</f>
        <v/>
      </c>
      <c r="I93" s="8">
        <f>IF(E93="","",CHOOSE(E93,"Churned","Dormant","Recent")&amp;", "&amp;CHOOSE(F93,"one-off","medium","frequent"))</f>
        <v/>
      </c>
    </row>
    <row r="94">
      <c r="A94" s="8" t="n"/>
      <c r="B94" s="8" t="n"/>
      <c r="C94" s="8" t="n"/>
      <c r="D94" s="9" t="n"/>
      <c r="E94" s="10">
        <f>IF(B94="","",IF(B94&lt;=$C$3,3,IF(B94&lt;=$E$3,2,1)))</f>
        <v/>
      </c>
      <c r="F94" s="10">
        <f>IF(C94="","",IF(C94&gt;=$C$4,3,IF(C94&gt;=$E$4,2,1)))</f>
        <v/>
      </c>
      <c r="G94" s="10">
        <f>IF(D94="","",IF(D94&gt;=$C$5,3,IF(D94&gt;=$E$5,2,1)))</f>
        <v/>
      </c>
      <c r="H94" s="10">
        <f>IF(E94="","",E94&amp;"-"&amp;F94&amp;"-"&amp;G94)</f>
        <v/>
      </c>
      <c r="I94" s="8">
        <f>IF(E94="","",CHOOSE(E94,"Churned","Dormant","Recent")&amp;", "&amp;CHOOSE(F94,"one-off","medium","frequent"))</f>
        <v/>
      </c>
    </row>
    <row r="95">
      <c r="A95" s="8" t="n"/>
      <c r="B95" s="8" t="n"/>
      <c r="C95" s="8" t="n"/>
      <c r="D95" s="9" t="n"/>
      <c r="E95" s="10">
        <f>IF(B95="","",IF(B95&lt;=$C$3,3,IF(B95&lt;=$E$3,2,1)))</f>
        <v/>
      </c>
      <c r="F95" s="10">
        <f>IF(C95="","",IF(C95&gt;=$C$4,3,IF(C95&gt;=$E$4,2,1)))</f>
        <v/>
      </c>
      <c r="G95" s="10">
        <f>IF(D95="","",IF(D95&gt;=$C$5,3,IF(D95&gt;=$E$5,2,1)))</f>
        <v/>
      </c>
      <c r="H95" s="10">
        <f>IF(E95="","",E95&amp;"-"&amp;F95&amp;"-"&amp;G95)</f>
        <v/>
      </c>
      <c r="I95" s="8">
        <f>IF(E95="","",CHOOSE(E95,"Churned","Dormant","Recent")&amp;", "&amp;CHOOSE(F95,"one-off","medium","frequent"))</f>
        <v/>
      </c>
    </row>
    <row r="96">
      <c r="A96" s="8" t="n"/>
      <c r="B96" s="8" t="n"/>
      <c r="C96" s="8" t="n"/>
      <c r="D96" s="9" t="n"/>
      <c r="E96" s="10">
        <f>IF(B96="","",IF(B96&lt;=$C$3,3,IF(B96&lt;=$E$3,2,1)))</f>
        <v/>
      </c>
      <c r="F96" s="10">
        <f>IF(C96="","",IF(C96&gt;=$C$4,3,IF(C96&gt;=$E$4,2,1)))</f>
        <v/>
      </c>
      <c r="G96" s="10">
        <f>IF(D96="","",IF(D96&gt;=$C$5,3,IF(D96&gt;=$E$5,2,1)))</f>
        <v/>
      </c>
      <c r="H96" s="10">
        <f>IF(E96="","",E96&amp;"-"&amp;F96&amp;"-"&amp;G96)</f>
        <v/>
      </c>
      <c r="I96" s="8">
        <f>IF(E96="","",CHOOSE(E96,"Churned","Dormant","Recent")&amp;", "&amp;CHOOSE(F96,"one-off","medium","frequent"))</f>
        <v/>
      </c>
    </row>
    <row r="97">
      <c r="A97" s="8" t="n"/>
      <c r="B97" s="8" t="n"/>
      <c r="C97" s="8" t="n"/>
      <c r="D97" s="9" t="n"/>
      <c r="E97" s="10">
        <f>IF(B97="","",IF(B97&lt;=$C$3,3,IF(B97&lt;=$E$3,2,1)))</f>
        <v/>
      </c>
      <c r="F97" s="10">
        <f>IF(C97="","",IF(C97&gt;=$C$4,3,IF(C97&gt;=$E$4,2,1)))</f>
        <v/>
      </c>
      <c r="G97" s="10">
        <f>IF(D97="","",IF(D97&gt;=$C$5,3,IF(D97&gt;=$E$5,2,1)))</f>
        <v/>
      </c>
      <c r="H97" s="10">
        <f>IF(E97="","",E97&amp;"-"&amp;F97&amp;"-"&amp;G97)</f>
        <v/>
      </c>
      <c r="I97" s="8">
        <f>IF(E97="","",CHOOSE(E97,"Churned","Dormant","Recent")&amp;", "&amp;CHOOSE(F97,"one-off","medium","frequent"))</f>
        <v/>
      </c>
    </row>
    <row r="98">
      <c r="A98" s="8" t="n"/>
      <c r="B98" s="8" t="n"/>
      <c r="C98" s="8" t="n"/>
      <c r="D98" s="9" t="n"/>
      <c r="E98" s="10">
        <f>IF(B98="","",IF(B98&lt;=$C$3,3,IF(B98&lt;=$E$3,2,1)))</f>
        <v/>
      </c>
      <c r="F98" s="10">
        <f>IF(C98="","",IF(C98&gt;=$C$4,3,IF(C98&gt;=$E$4,2,1)))</f>
        <v/>
      </c>
      <c r="G98" s="10">
        <f>IF(D98="","",IF(D98&gt;=$C$5,3,IF(D98&gt;=$E$5,2,1)))</f>
        <v/>
      </c>
      <c r="H98" s="10">
        <f>IF(E98="","",E98&amp;"-"&amp;F98&amp;"-"&amp;G98)</f>
        <v/>
      </c>
      <c r="I98" s="8">
        <f>IF(E98="","",CHOOSE(E98,"Churned","Dormant","Recent")&amp;", "&amp;CHOOSE(F98,"one-off","medium","frequent"))</f>
        <v/>
      </c>
    </row>
    <row r="99">
      <c r="A99" s="8" t="n"/>
      <c r="B99" s="8" t="n"/>
      <c r="C99" s="8" t="n"/>
      <c r="D99" s="9" t="n"/>
      <c r="E99" s="10">
        <f>IF(B99="","",IF(B99&lt;=$C$3,3,IF(B99&lt;=$E$3,2,1)))</f>
        <v/>
      </c>
      <c r="F99" s="10">
        <f>IF(C99="","",IF(C99&gt;=$C$4,3,IF(C99&gt;=$E$4,2,1)))</f>
        <v/>
      </c>
      <c r="G99" s="10">
        <f>IF(D99="","",IF(D99&gt;=$C$5,3,IF(D99&gt;=$E$5,2,1)))</f>
        <v/>
      </c>
      <c r="H99" s="10">
        <f>IF(E99="","",E99&amp;"-"&amp;F99&amp;"-"&amp;G99)</f>
        <v/>
      </c>
      <c r="I99" s="8">
        <f>IF(E99="","",CHOOSE(E99,"Churned","Dormant","Recent")&amp;", "&amp;CHOOSE(F99,"one-off","medium","frequent"))</f>
        <v/>
      </c>
    </row>
    <row r="100">
      <c r="A100" s="8" t="n"/>
      <c r="B100" s="8" t="n"/>
      <c r="C100" s="8" t="n"/>
      <c r="D100" s="9" t="n"/>
      <c r="E100" s="10">
        <f>IF(B100="","",IF(B100&lt;=$C$3,3,IF(B100&lt;=$E$3,2,1)))</f>
        <v/>
      </c>
      <c r="F100" s="10">
        <f>IF(C100="","",IF(C100&gt;=$C$4,3,IF(C100&gt;=$E$4,2,1)))</f>
        <v/>
      </c>
      <c r="G100" s="10">
        <f>IF(D100="","",IF(D100&gt;=$C$5,3,IF(D100&gt;=$E$5,2,1)))</f>
        <v/>
      </c>
      <c r="H100" s="10">
        <f>IF(E100="","",E100&amp;"-"&amp;F100&amp;"-"&amp;G100)</f>
        <v/>
      </c>
      <c r="I100" s="8">
        <f>IF(E100="","",CHOOSE(E100,"Churned","Dormant","Recent")&amp;", "&amp;CHOOSE(F100,"one-off","medium","frequent"))</f>
        <v/>
      </c>
    </row>
    <row r="101">
      <c r="A101" s="8" t="n"/>
      <c r="B101" s="8" t="n"/>
      <c r="C101" s="8" t="n"/>
      <c r="D101" s="9" t="n"/>
      <c r="E101" s="10">
        <f>IF(B101="","",IF(B101&lt;=$C$3,3,IF(B101&lt;=$E$3,2,1)))</f>
        <v/>
      </c>
      <c r="F101" s="10">
        <f>IF(C101="","",IF(C101&gt;=$C$4,3,IF(C101&gt;=$E$4,2,1)))</f>
        <v/>
      </c>
      <c r="G101" s="10">
        <f>IF(D101="","",IF(D101&gt;=$C$5,3,IF(D101&gt;=$E$5,2,1)))</f>
        <v/>
      </c>
      <c r="H101" s="10">
        <f>IF(E101="","",E101&amp;"-"&amp;F101&amp;"-"&amp;G101)</f>
        <v/>
      </c>
      <c r="I101" s="8">
        <f>IF(E101="","",CHOOSE(E101,"Churned","Dormant","Recent")&amp;", "&amp;CHOOSE(F101,"one-off","medium","frequent"))</f>
        <v/>
      </c>
    </row>
    <row r="102">
      <c r="A102" s="8" t="n"/>
      <c r="B102" s="8" t="n"/>
      <c r="C102" s="8" t="n"/>
      <c r="D102" s="9" t="n"/>
      <c r="E102" s="10">
        <f>IF(B102="","",IF(B102&lt;=$C$3,3,IF(B102&lt;=$E$3,2,1)))</f>
        <v/>
      </c>
      <c r="F102" s="10">
        <f>IF(C102="","",IF(C102&gt;=$C$4,3,IF(C102&gt;=$E$4,2,1)))</f>
        <v/>
      </c>
      <c r="G102" s="10">
        <f>IF(D102="","",IF(D102&gt;=$C$5,3,IF(D102&gt;=$E$5,2,1)))</f>
        <v/>
      </c>
      <c r="H102" s="10">
        <f>IF(E102="","",E102&amp;"-"&amp;F102&amp;"-"&amp;G102)</f>
        <v/>
      </c>
      <c r="I102" s="8">
        <f>IF(E102="","",CHOOSE(E102,"Churned","Dormant","Recent")&amp;", "&amp;CHOOSE(F102,"one-off","medium","frequent"))</f>
        <v/>
      </c>
    </row>
    <row r="103">
      <c r="A103" s="8" t="n"/>
      <c r="B103" s="8" t="n"/>
      <c r="C103" s="8" t="n"/>
      <c r="D103" s="9" t="n"/>
      <c r="E103" s="10">
        <f>IF(B103="","",IF(B103&lt;=$C$3,3,IF(B103&lt;=$E$3,2,1)))</f>
        <v/>
      </c>
      <c r="F103" s="10">
        <f>IF(C103="","",IF(C103&gt;=$C$4,3,IF(C103&gt;=$E$4,2,1)))</f>
        <v/>
      </c>
      <c r="G103" s="10">
        <f>IF(D103="","",IF(D103&gt;=$C$5,3,IF(D103&gt;=$E$5,2,1)))</f>
        <v/>
      </c>
      <c r="H103" s="10">
        <f>IF(E103="","",E103&amp;"-"&amp;F103&amp;"-"&amp;G103)</f>
        <v/>
      </c>
      <c r="I103" s="8">
        <f>IF(E103="","",CHOOSE(E103,"Churned","Dormant","Recent")&amp;", "&amp;CHOOSE(F103,"one-off","medium","frequent"))</f>
        <v/>
      </c>
    </row>
    <row r="104">
      <c r="A104" s="8" t="n"/>
      <c r="B104" s="8" t="n"/>
      <c r="C104" s="8" t="n"/>
      <c r="D104" s="9" t="n"/>
      <c r="E104" s="10">
        <f>IF(B104="","",IF(B104&lt;=$C$3,3,IF(B104&lt;=$E$3,2,1)))</f>
        <v/>
      </c>
      <c r="F104" s="10">
        <f>IF(C104="","",IF(C104&gt;=$C$4,3,IF(C104&gt;=$E$4,2,1)))</f>
        <v/>
      </c>
      <c r="G104" s="10">
        <f>IF(D104="","",IF(D104&gt;=$C$5,3,IF(D104&gt;=$E$5,2,1)))</f>
        <v/>
      </c>
      <c r="H104" s="10">
        <f>IF(E104="","",E104&amp;"-"&amp;F104&amp;"-"&amp;G104)</f>
        <v/>
      </c>
      <c r="I104" s="8">
        <f>IF(E104="","",CHOOSE(E104,"Churned","Dormant","Recent")&amp;", "&amp;CHOOSE(F104,"one-off","medium","frequent"))</f>
        <v/>
      </c>
    </row>
    <row r="105">
      <c r="A105" s="8" t="n"/>
      <c r="B105" s="8" t="n"/>
      <c r="C105" s="8" t="n"/>
      <c r="D105" s="9" t="n"/>
      <c r="E105" s="10">
        <f>IF(B105="","",IF(B105&lt;=$C$3,3,IF(B105&lt;=$E$3,2,1)))</f>
        <v/>
      </c>
      <c r="F105" s="10">
        <f>IF(C105="","",IF(C105&gt;=$C$4,3,IF(C105&gt;=$E$4,2,1)))</f>
        <v/>
      </c>
      <c r="G105" s="10">
        <f>IF(D105="","",IF(D105&gt;=$C$5,3,IF(D105&gt;=$E$5,2,1)))</f>
        <v/>
      </c>
      <c r="H105" s="10">
        <f>IF(E105="","",E105&amp;"-"&amp;F105&amp;"-"&amp;G105)</f>
        <v/>
      </c>
      <c r="I105" s="8">
        <f>IF(E105="","",CHOOSE(E105,"Churned","Dormant","Recent")&amp;", "&amp;CHOOSE(F105,"one-off","medium","frequent"))</f>
        <v/>
      </c>
    </row>
    <row r="106">
      <c r="A106" s="8" t="n"/>
      <c r="B106" s="8" t="n"/>
      <c r="C106" s="8" t="n"/>
      <c r="D106" s="9" t="n"/>
      <c r="E106" s="10">
        <f>IF(B106="","",IF(B106&lt;=$C$3,3,IF(B106&lt;=$E$3,2,1)))</f>
        <v/>
      </c>
      <c r="F106" s="10">
        <f>IF(C106="","",IF(C106&gt;=$C$4,3,IF(C106&gt;=$E$4,2,1)))</f>
        <v/>
      </c>
      <c r="G106" s="10">
        <f>IF(D106="","",IF(D106&gt;=$C$5,3,IF(D106&gt;=$E$5,2,1)))</f>
        <v/>
      </c>
      <c r="H106" s="10">
        <f>IF(E106="","",E106&amp;"-"&amp;F106&amp;"-"&amp;G106)</f>
        <v/>
      </c>
      <c r="I106" s="8">
        <f>IF(E106="","",CHOOSE(E106,"Churned","Dormant","Recent")&amp;", "&amp;CHOOSE(F106,"one-off","medium","frequent"))</f>
        <v/>
      </c>
    </row>
    <row r="107">
      <c r="A107" s="8" t="n"/>
      <c r="B107" s="8" t="n"/>
      <c r="C107" s="8" t="n"/>
      <c r="D107" s="9" t="n"/>
      <c r="E107" s="10">
        <f>IF(B107="","",IF(B107&lt;=$C$3,3,IF(B107&lt;=$E$3,2,1)))</f>
        <v/>
      </c>
      <c r="F107" s="10">
        <f>IF(C107="","",IF(C107&gt;=$C$4,3,IF(C107&gt;=$E$4,2,1)))</f>
        <v/>
      </c>
      <c r="G107" s="10">
        <f>IF(D107="","",IF(D107&gt;=$C$5,3,IF(D107&gt;=$E$5,2,1)))</f>
        <v/>
      </c>
      <c r="H107" s="10">
        <f>IF(E107="","",E107&amp;"-"&amp;F107&amp;"-"&amp;G107)</f>
        <v/>
      </c>
      <c r="I107" s="8">
        <f>IF(E107="","",CHOOSE(E107,"Churned","Dormant","Recent")&amp;", "&amp;CHOOSE(F107,"one-off","medium","frequent"))</f>
        <v/>
      </c>
    </row>
    <row r="108">
      <c r="A108" s="8" t="n"/>
      <c r="B108" s="8" t="n"/>
      <c r="C108" s="8" t="n"/>
      <c r="D108" s="9" t="n"/>
      <c r="E108" s="10">
        <f>IF(B108="","",IF(B108&lt;=$C$3,3,IF(B108&lt;=$E$3,2,1)))</f>
        <v/>
      </c>
      <c r="F108" s="10">
        <f>IF(C108="","",IF(C108&gt;=$C$4,3,IF(C108&gt;=$E$4,2,1)))</f>
        <v/>
      </c>
      <c r="G108" s="10">
        <f>IF(D108="","",IF(D108&gt;=$C$5,3,IF(D108&gt;=$E$5,2,1)))</f>
        <v/>
      </c>
      <c r="H108" s="10">
        <f>IF(E108="","",E108&amp;"-"&amp;F108&amp;"-"&amp;G108)</f>
        <v/>
      </c>
      <c r="I108" s="8">
        <f>IF(E108="","",CHOOSE(E108,"Churned","Dormant","Recent")&amp;", "&amp;CHOOSE(F108,"one-off","medium","frequent"))</f>
        <v/>
      </c>
    </row>
    <row r="109">
      <c r="A109" s="8" t="n"/>
      <c r="B109" s="8" t="n"/>
      <c r="C109" s="8" t="n"/>
      <c r="D109" s="9" t="n"/>
      <c r="E109" s="10">
        <f>IF(B109="","",IF(B109&lt;=$C$3,3,IF(B109&lt;=$E$3,2,1)))</f>
        <v/>
      </c>
      <c r="F109" s="10">
        <f>IF(C109="","",IF(C109&gt;=$C$4,3,IF(C109&gt;=$E$4,2,1)))</f>
        <v/>
      </c>
      <c r="G109" s="10">
        <f>IF(D109="","",IF(D109&gt;=$C$5,3,IF(D109&gt;=$E$5,2,1)))</f>
        <v/>
      </c>
      <c r="H109" s="10">
        <f>IF(E109="","",E109&amp;"-"&amp;F109&amp;"-"&amp;G109)</f>
        <v/>
      </c>
      <c r="I109" s="8">
        <f>IF(E109="","",CHOOSE(E109,"Churned","Dormant","Recent")&amp;", "&amp;CHOOSE(F109,"one-off","medium","frequent"))</f>
        <v/>
      </c>
    </row>
    <row r="110">
      <c r="A110" s="8" t="n"/>
      <c r="B110" s="8" t="n"/>
      <c r="C110" s="8" t="n"/>
      <c r="D110" s="9" t="n"/>
      <c r="E110" s="10">
        <f>IF(B110="","",IF(B110&lt;=$C$3,3,IF(B110&lt;=$E$3,2,1)))</f>
        <v/>
      </c>
      <c r="F110" s="10">
        <f>IF(C110="","",IF(C110&gt;=$C$4,3,IF(C110&gt;=$E$4,2,1)))</f>
        <v/>
      </c>
      <c r="G110" s="10">
        <f>IF(D110="","",IF(D110&gt;=$C$5,3,IF(D110&gt;=$E$5,2,1)))</f>
        <v/>
      </c>
      <c r="H110" s="10">
        <f>IF(E110="","",E110&amp;"-"&amp;F110&amp;"-"&amp;G110)</f>
        <v/>
      </c>
      <c r="I110" s="8">
        <f>IF(E110="","",CHOOSE(E110,"Churned","Dormant","Recent")&amp;", "&amp;CHOOSE(F110,"one-off","medium","frequent"))</f>
        <v/>
      </c>
    </row>
    <row r="111">
      <c r="A111" s="8" t="n"/>
      <c r="B111" s="8" t="n"/>
      <c r="C111" s="8" t="n"/>
      <c r="D111" s="9" t="n"/>
      <c r="E111" s="10">
        <f>IF(B111="","",IF(B111&lt;=$C$3,3,IF(B111&lt;=$E$3,2,1)))</f>
        <v/>
      </c>
      <c r="F111" s="10">
        <f>IF(C111="","",IF(C111&gt;=$C$4,3,IF(C111&gt;=$E$4,2,1)))</f>
        <v/>
      </c>
      <c r="G111" s="10">
        <f>IF(D111="","",IF(D111&gt;=$C$5,3,IF(D111&gt;=$E$5,2,1)))</f>
        <v/>
      </c>
      <c r="H111" s="10">
        <f>IF(E111="","",E111&amp;"-"&amp;F111&amp;"-"&amp;G111)</f>
        <v/>
      </c>
      <c r="I111" s="8">
        <f>IF(E111="","",CHOOSE(E111,"Churned","Dormant","Recent")&amp;", "&amp;CHOOSE(F111,"one-off","medium","frequent"))</f>
        <v/>
      </c>
    </row>
    <row r="112">
      <c r="A112" s="8" t="n"/>
      <c r="B112" s="8" t="n"/>
      <c r="C112" s="8" t="n"/>
      <c r="D112" s="9" t="n"/>
      <c r="E112" s="10">
        <f>IF(B112="","",IF(B112&lt;=$C$3,3,IF(B112&lt;=$E$3,2,1)))</f>
        <v/>
      </c>
      <c r="F112" s="10">
        <f>IF(C112="","",IF(C112&gt;=$C$4,3,IF(C112&gt;=$E$4,2,1)))</f>
        <v/>
      </c>
      <c r="G112" s="10">
        <f>IF(D112="","",IF(D112&gt;=$C$5,3,IF(D112&gt;=$E$5,2,1)))</f>
        <v/>
      </c>
      <c r="H112" s="10">
        <f>IF(E112="","",E112&amp;"-"&amp;F112&amp;"-"&amp;G112)</f>
        <v/>
      </c>
      <c r="I112" s="8">
        <f>IF(E112="","",CHOOSE(E112,"Churned","Dormant","Recent")&amp;", "&amp;CHOOSE(F112,"one-off","medium","frequent"))</f>
        <v/>
      </c>
    </row>
    <row r="113">
      <c r="A113" s="8" t="n"/>
      <c r="B113" s="8" t="n"/>
      <c r="C113" s="8" t="n"/>
      <c r="D113" s="9" t="n"/>
      <c r="E113" s="10">
        <f>IF(B113="","",IF(B113&lt;=$C$3,3,IF(B113&lt;=$E$3,2,1)))</f>
        <v/>
      </c>
      <c r="F113" s="10">
        <f>IF(C113="","",IF(C113&gt;=$C$4,3,IF(C113&gt;=$E$4,2,1)))</f>
        <v/>
      </c>
      <c r="G113" s="10">
        <f>IF(D113="","",IF(D113&gt;=$C$5,3,IF(D113&gt;=$E$5,2,1)))</f>
        <v/>
      </c>
      <c r="H113" s="10">
        <f>IF(E113="","",E113&amp;"-"&amp;F113&amp;"-"&amp;G113)</f>
        <v/>
      </c>
      <c r="I113" s="8">
        <f>IF(E113="","",CHOOSE(E113,"Churned","Dormant","Recent")&amp;", "&amp;CHOOSE(F113,"one-off","medium","frequent"))</f>
        <v/>
      </c>
    </row>
    <row r="114">
      <c r="A114" s="8" t="n"/>
      <c r="B114" s="8" t="n"/>
      <c r="C114" s="8" t="n"/>
      <c r="D114" s="9" t="n"/>
      <c r="E114" s="10">
        <f>IF(B114="","",IF(B114&lt;=$C$3,3,IF(B114&lt;=$E$3,2,1)))</f>
        <v/>
      </c>
      <c r="F114" s="10">
        <f>IF(C114="","",IF(C114&gt;=$C$4,3,IF(C114&gt;=$E$4,2,1)))</f>
        <v/>
      </c>
      <c r="G114" s="10">
        <f>IF(D114="","",IF(D114&gt;=$C$5,3,IF(D114&gt;=$E$5,2,1)))</f>
        <v/>
      </c>
      <c r="H114" s="10">
        <f>IF(E114="","",E114&amp;"-"&amp;F114&amp;"-"&amp;G114)</f>
        <v/>
      </c>
      <c r="I114" s="8">
        <f>IF(E114="","",CHOOSE(E114,"Churned","Dormant","Recent")&amp;", "&amp;CHOOSE(F114,"one-off","medium","frequent"))</f>
        <v/>
      </c>
    </row>
    <row r="115">
      <c r="A115" s="8" t="n"/>
      <c r="B115" s="8" t="n"/>
      <c r="C115" s="8" t="n"/>
      <c r="D115" s="9" t="n"/>
      <c r="E115" s="10">
        <f>IF(B115="","",IF(B115&lt;=$C$3,3,IF(B115&lt;=$E$3,2,1)))</f>
        <v/>
      </c>
      <c r="F115" s="10">
        <f>IF(C115="","",IF(C115&gt;=$C$4,3,IF(C115&gt;=$E$4,2,1)))</f>
        <v/>
      </c>
      <c r="G115" s="10">
        <f>IF(D115="","",IF(D115&gt;=$C$5,3,IF(D115&gt;=$E$5,2,1)))</f>
        <v/>
      </c>
      <c r="H115" s="10">
        <f>IF(E115="","",E115&amp;"-"&amp;F115&amp;"-"&amp;G115)</f>
        <v/>
      </c>
      <c r="I115" s="8">
        <f>IF(E115="","",CHOOSE(E115,"Churned","Dormant","Recent")&amp;", "&amp;CHOOSE(F115,"one-off","medium","frequent"))</f>
        <v/>
      </c>
    </row>
    <row r="116">
      <c r="A116" s="8" t="n"/>
      <c r="B116" s="8" t="n"/>
      <c r="C116" s="8" t="n"/>
      <c r="D116" s="9" t="n"/>
      <c r="E116" s="10">
        <f>IF(B116="","",IF(B116&lt;=$C$3,3,IF(B116&lt;=$E$3,2,1)))</f>
        <v/>
      </c>
      <c r="F116" s="10">
        <f>IF(C116="","",IF(C116&gt;=$C$4,3,IF(C116&gt;=$E$4,2,1)))</f>
        <v/>
      </c>
      <c r="G116" s="10">
        <f>IF(D116="","",IF(D116&gt;=$C$5,3,IF(D116&gt;=$E$5,2,1)))</f>
        <v/>
      </c>
      <c r="H116" s="10">
        <f>IF(E116="","",E116&amp;"-"&amp;F116&amp;"-"&amp;G116)</f>
        <v/>
      </c>
      <c r="I116" s="8">
        <f>IF(E116="","",CHOOSE(E116,"Churned","Dormant","Recent")&amp;", "&amp;CHOOSE(F116,"one-off","medium","frequent"))</f>
        <v/>
      </c>
    </row>
    <row r="117">
      <c r="A117" s="8" t="n"/>
      <c r="B117" s="8" t="n"/>
      <c r="C117" s="8" t="n"/>
      <c r="D117" s="9" t="n"/>
      <c r="E117" s="10">
        <f>IF(B117="","",IF(B117&lt;=$C$3,3,IF(B117&lt;=$E$3,2,1)))</f>
        <v/>
      </c>
      <c r="F117" s="10">
        <f>IF(C117="","",IF(C117&gt;=$C$4,3,IF(C117&gt;=$E$4,2,1)))</f>
        <v/>
      </c>
      <c r="G117" s="10">
        <f>IF(D117="","",IF(D117&gt;=$C$5,3,IF(D117&gt;=$E$5,2,1)))</f>
        <v/>
      </c>
      <c r="H117" s="10">
        <f>IF(E117="","",E117&amp;"-"&amp;F117&amp;"-"&amp;G117)</f>
        <v/>
      </c>
      <c r="I117" s="8">
        <f>IF(E117="","",CHOOSE(E117,"Churned","Dormant","Recent")&amp;", "&amp;CHOOSE(F117,"one-off","medium","frequent"))</f>
        <v/>
      </c>
    </row>
    <row r="118">
      <c r="A118" s="8" t="n"/>
      <c r="B118" s="8" t="n"/>
      <c r="C118" s="8" t="n"/>
      <c r="D118" s="9" t="n"/>
      <c r="E118" s="10">
        <f>IF(B118="","",IF(B118&lt;=$C$3,3,IF(B118&lt;=$E$3,2,1)))</f>
        <v/>
      </c>
      <c r="F118" s="10">
        <f>IF(C118="","",IF(C118&gt;=$C$4,3,IF(C118&gt;=$E$4,2,1)))</f>
        <v/>
      </c>
      <c r="G118" s="10">
        <f>IF(D118="","",IF(D118&gt;=$C$5,3,IF(D118&gt;=$E$5,2,1)))</f>
        <v/>
      </c>
      <c r="H118" s="10">
        <f>IF(E118="","",E118&amp;"-"&amp;F118&amp;"-"&amp;G118)</f>
        <v/>
      </c>
      <c r="I118" s="8">
        <f>IF(E118="","",CHOOSE(E118,"Churned","Dormant","Recent")&amp;", "&amp;CHOOSE(F118,"one-off","medium","frequent"))</f>
        <v/>
      </c>
    </row>
    <row r="119">
      <c r="A119" s="8" t="n"/>
      <c r="B119" s="8" t="n"/>
      <c r="C119" s="8" t="n"/>
      <c r="D119" s="9" t="n"/>
      <c r="E119" s="10">
        <f>IF(B119="","",IF(B119&lt;=$C$3,3,IF(B119&lt;=$E$3,2,1)))</f>
        <v/>
      </c>
      <c r="F119" s="10">
        <f>IF(C119="","",IF(C119&gt;=$C$4,3,IF(C119&gt;=$E$4,2,1)))</f>
        <v/>
      </c>
      <c r="G119" s="10">
        <f>IF(D119="","",IF(D119&gt;=$C$5,3,IF(D119&gt;=$E$5,2,1)))</f>
        <v/>
      </c>
      <c r="H119" s="10">
        <f>IF(E119="","",E119&amp;"-"&amp;F119&amp;"-"&amp;G119)</f>
        <v/>
      </c>
      <c r="I119" s="8">
        <f>IF(E119="","",CHOOSE(E119,"Churned","Dormant","Recent")&amp;", "&amp;CHOOSE(F119,"one-off","medium","frequent"))</f>
        <v/>
      </c>
    </row>
    <row r="120">
      <c r="A120" s="8" t="n"/>
      <c r="B120" s="8" t="n"/>
      <c r="C120" s="8" t="n"/>
      <c r="D120" s="9" t="n"/>
      <c r="E120" s="10">
        <f>IF(B120="","",IF(B120&lt;=$C$3,3,IF(B120&lt;=$E$3,2,1)))</f>
        <v/>
      </c>
      <c r="F120" s="10">
        <f>IF(C120="","",IF(C120&gt;=$C$4,3,IF(C120&gt;=$E$4,2,1)))</f>
        <v/>
      </c>
      <c r="G120" s="10">
        <f>IF(D120="","",IF(D120&gt;=$C$5,3,IF(D120&gt;=$E$5,2,1)))</f>
        <v/>
      </c>
      <c r="H120" s="10">
        <f>IF(E120="","",E120&amp;"-"&amp;F120&amp;"-"&amp;G120)</f>
        <v/>
      </c>
      <c r="I120" s="8">
        <f>IF(E120="","",CHOOSE(E120,"Churned","Dormant","Recent")&amp;", "&amp;CHOOSE(F120,"one-off","medium","frequent"))</f>
        <v/>
      </c>
    </row>
    <row r="121">
      <c r="A121" s="8" t="n"/>
      <c r="B121" s="8" t="n"/>
      <c r="C121" s="8" t="n"/>
      <c r="D121" s="9" t="n"/>
      <c r="E121" s="10">
        <f>IF(B121="","",IF(B121&lt;=$C$3,3,IF(B121&lt;=$E$3,2,1)))</f>
        <v/>
      </c>
      <c r="F121" s="10">
        <f>IF(C121="","",IF(C121&gt;=$C$4,3,IF(C121&gt;=$E$4,2,1)))</f>
        <v/>
      </c>
      <c r="G121" s="10">
        <f>IF(D121="","",IF(D121&gt;=$C$5,3,IF(D121&gt;=$E$5,2,1)))</f>
        <v/>
      </c>
      <c r="H121" s="10">
        <f>IF(E121="","",E121&amp;"-"&amp;F121&amp;"-"&amp;G121)</f>
        <v/>
      </c>
      <c r="I121" s="8">
        <f>IF(E121="","",CHOOSE(E121,"Churned","Dormant","Recent")&amp;", "&amp;CHOOSE(F121,"one-off","medium","frequent"))</f>
        <v/>
      </c>
    </row>
    <row r="122">
      <c r="A122" s="8" t="n"/>
      <c r="B122" s="8" t="n"/>
      <c r="C122" s="8" t="n"/>
      <c r="D122" s="9" t="n"/>
      <c r="E122" s="10">
        <f>IF(B122="","",IF(B122&lt;=$C$3,3,IF(B122&lt;=$E$3,2,1)))</f>
        <v/>
      </c>
      <c r="F122" s="10">
        <f>IF(C122="","",IF(C122&gt;=$C$4,3,IF(C122&gt;=$E$4,2,1)))</f>
        <v/>
      </c>
      <c r="G122" s="10">
        <f>IF(D122="","",IF(D122&gt;=$C$5,3,IF(D122&gt;=$E$5,2,1)))</f>
        <v/>
      </c>
      <c r="H122" s="10">
        <f>IF(E122="","",E122&amp;"-"&amp;F122&amp;"-"&amp;G122)</f>
        <v/>
      </c>
      <c r="I122" s="8">
        <f>IF(E122="","",CHOOSE(E122,"Churned","Dormant","Recent")&amp;", "&amp;CHOOSE(F122,"one-off","medium","frequent"))</f>
        <v/>
      </c>
    </row>
    <row r="123">
      <c r="A123" s="8" t="n"/>
      <c r="B123" s="8" t="n"/>
      <c r="C123" s="8" t="n"/>
      <c r="D123" s="9" t="n"/>
      <c r="E123" s="10">
        <f>IF(B123="","",IF(B123&lt;=$C$3,3,IF(B123&lt;=$E$3,2,1)))</f>
        <v/>
      </c>
      <c r="F123" s="10">
        <f>IF(C123="","",IF(C123&gt;=$C$4,3,IF(C123&gt;=$E$4,2,1)))</f>
        <v/>
      </c>
      <c r="G123" s="10">
        <f>IF(D123="","",IF(D123&gt;=$C$5,3,IF(D123&gt;=$E$5,2,1)))</f>
        <v/>
      </c>
      <c r="H123" s="10">
        <f>IF(E123="","",E123&amp;"-"&amp;F123&amp;"-"&amp;G123)</f>
        <v/>
      </c>
      <c r="I123" s="8">
        <f>IF(E123="","",CHOOSE(E123,"Churned","Dormant","Recent")&amp;", "&amp;CHOOSE(F123,"one-off","medium","frequent"))</f>
        <v/>
      </c>
    </row>
    <row r="124">
      <c r="A124" s="8" t="n"/>
      <c r="B124" s="8" t="n"/>
      <c r="C124" s="8" t="n"/>
      <c r="D124" s="9" t="n"/>
      <c r="E124" s="10">
        <f>IF(B124="","",IF(B124&lt;=$C$3,3,IF(B124&lt;=$E$3,2,1)))</f>
        <v/>
      </c>
      <c r="F124" s="10">
        <f>IF(C124="","",IF(C124&gt;=$C$4,3,IF(C124&gt;=$E$4,2,1)))</f>
        <v/>
      </c>
      <c r="G124" s="10">
        <f>IF(D124="","",IF(D124&gt;=$C$5,3,IF(D124&gt;=$E$5,2,1)))</f>
        <v/>
      </c>
      <c r="H124" s="10">
        <f>IF(E124="","",E124&amp;"-"&amp;F124&amp;"-"&amp;G124)</f>
        <v/>
      </c>
      <c r="I124" s="8">
        <f>IF(E124="","",CHOOSE(E124,"Churned","Dormant","Recent")&amp;", "&amp;CHOOSE(F124,"one-off","medium","frequent"))</f>
        <v/>
      </c>
    </row>
    <row r="125">
      <c r="A125" s="8" t="n"/>
      <c r="B125" s="8" t="n"/>
      <c r="C125" s="8" t="n"/>
      <c r="D125" s="9" t="n"/>
      <c r="E125" s="10">
        <f>IF(B125="","",IF(B125&lt;=$C$3,3,IF(B125&lt;=$E$3,2,1)))</f>
        <v/>
      </c>
      <c r="F125" s="10">
        <f>IF(C125="","",IF(C125&gt;=$C$4,3,IF(C125&gt;=$E$4,2,1)))</f>
        <v/>
      </c>
      <c r="G125" s="10">
        <f>IF(D125="","",IF(D125&gt;=$C$5,3,IF(D125&gt;=$E$5,2,1)))</f>
        <v/>
      </c>
      <c r="H125" s="10">
        <f>IF(E125="","",E125&amp;"-"&amp;F125&amp;"-"&amp;G125)</f>
        <v/>
      </c>
      <c r="I125" s="8">
        <f>IF(E125="","",CHOOSE(E125,"Churned","Dormant","Recent")&amp;", "&amp;CHOOSE(F125,"one-off","medium","frequent"))</f>
        <v/>
      </c>
    </row>
    <row r="126">
      <c r="A126" s="8" t="n"/>
      <c r="B126" s="8" t="n"/>
      <c r="C126" s="8" t="n"/>
      <c r="D126" s="9" t="n"/>
      <c r="E126" s="10">
        <f>IF(B126="","",IF(B126&lt;=$C$3,3,IF(B126&lt;=$E$3,2,1)))</f>
        <v/>
      </c>
      <c r="F126" s="10">
        <f>IF(C126="","",IF(C126&gt;=$C$4,3,IF(C126&gt;=$E$4,2,1)))</f>
        <v/>
      </c>
      <c r="G126" s="10">
        <f>IF(D126="","",IF(D126&gt;=$C$5,3,IF(D126&gt;=$E$5,2,1)))</f>
        <v/>
      </c>
      <c r="H126" s="10">
        <f>IF(E126="","",E126&amp;"-"&amp;F126&amp;"-"&amp;G126)</f>
        <v/>
      </c>
      <c r="I126" s="8">
        <f>IF(E126="","",CHOOSE(E126,"Churned","Dormant","Recent")&amp;", "&amp;CHOOSE(F126,"one-off","medium","frequent"))</f>
        <v/>
      </c>
    </row>
    <row r="127">
      <c r="A127" s="8" t="n"/>
      <c r="B127" s="8" t="n"/>
      <c r="C127" s="8" t="n"/>
      <c r="D127" s="9" t="n"/>
      <c r="E127" s="10">
        <f>IF(B127="","",IF(B127&lt;=$C$3,3,IF(B127&lt;=$E$3,2,1)))</f>
        <v/>
      </c>
      <c r="F127" s="10">
        <f>IF(C127="","",IF(C127&gt;=$C$4,3,IF(C127&gt;=$E$4,2,1)))</f>
        <v/>
      </c>
      <c r="G127" s="10">
        <f>IF(D127="","",IF(D127&gt;=$C$5,3,IF(D127&gt;=$E$5,2,1)))</f>
        <v/>
      </c>
      <c r="H127" s="10">
        <f>IF(E127="","",E127&amp;"-"&amp;F127&amp;"-"&amp;G127)</f>
        <v/>
      </c>
      <c r="I127" s="8">
        <f>IF(E127="","",CHOOSE(E127,"Churned","Dormant","Recent")&amp;", "&amp;CHOOSE(F127,"one-off","medium","frequent"))</f>
        <v/>
      </c>
    </row>
    <row r="128">
      <c r="A128" s="8" t="n"/>
      <c r="B128" s="8" t="n"/>
      <c r="C128" s="8" t="n"/>
      <c r="D128" s="9" t="n"/>
      <c r="E128" s="10">
        <f>IF(B128="","",IF(B128&lt;=$C$3,3,IF(B128&lt;=$E$3,2,1)))</f>
        <v/>
      </c>
      <c r="F128" s="10">
        <f>IF(C128="","",IF(C128&gt;=$C$4,3,IF(C128&gt;=$E$4,2,1)))</f>
        <v/>
      </c>
      <c r="G128" s="10">
        <f>IF(D128="","",IF(D128&gt;=$C$5,3,IF(D128&gt;=$E$5,2,1)))</f>
        <v/>
      </c>
      <c r="H128" s="10">
        <f>IF(E128="","",E128&amp;"-"&amp;F128&amp;"-"&amp;G128)</f>
        <v/>
      </c>
      <c r="I128" s="8">
        <f>IF(E128="","",CHOOSE(E128,"Churned","Dormant","Recent")&amp;", "&amp;CHOOSE(F128,"one-off","medium","frequent"))</f>
        <v/>
      </c>
    </row>
    <row r="129">
      <c r="A129" s="8" t="n"/>
      <c r="B129" s="8" t="n"/>
      <c r="C129" s="8" t="n"/>
      <c r="D129" s="9" t="n"/>
      <c r="E129" s="10">
        <f>IF(B129="","",IF(B129&lt;=$C$3,3,IF(B129&lt;=$E$3,2,1)))</f>
        <v/>
      </c>
      <c r="F129" s="10">
        <f>IF(C129="","",IF(C129&gt;=$C$4,3,IF(C129&gt;=$E$4,2,1)))</f>
        <v/>
      </c>
      <c r="G129" s="10">
        <f>IF(D129="","",IF(D129&gt;=$C$5,3,IF(D129&gt;=$E$5,2,1)))</f>
        <v/>
      </c>
      <c r="H129" s="10">
        <f>IF(E129="","",E129&amp;"-"&amp;F129&amp;"-"&amp;G129)</f>
        <v/>
      </c>
      <c r="I129" s="8">
        <f>IF(E129="","",CHOOSE(E129,"Churned","Dormant","Recent")&amp;", "&amp;CHOOSE(F129,"one-off","medium","frequent"))</f>
        <v/>
      </c>
    </row>
    <row r="130">
      <c r="A130" s="8" t="n"/>
      <c r="B130" s="8" t="n"/>
      <c r="C130" s="8" t="n"/>
      <c r="D130" s="9" t="n"/>
      <c r="E130" s="10">
        <f>IF(B130="","",IF(B130&lt;=$C$3,3,IF(B130&lt;=$E$3,2,1)))</f>
        <v/>
      </c>
      <c r="F130" s="10">
        <f>IF(C130="","",IF(C130&gt;=$C$4,3,IF(C130&gt;=$E$4,2,1)))</f>
        <v/>
      </c>
      <c r="G130" s="10">
        <f>IF(D130="","",IF(D130&gt;=$C$5,3,IF(D130&gt;=$E$5,2,1)))</f>
        <v/>
      </c>
      <c r="H130" s="10">
        <f>IF(E130="","",E130&amp;"-"&amp;F130&amp;"-"&amp;G130)</f>
        <v/>
      </c>
      <c r="I130" s="8">
        <f>IF(E130="","",CHOOSE(E130,"Churned","Dormant","Recent")&amp;", "&amp;CHOOSE(F130,"one-off","medium","frequent"))</f>
        <v/>
      </c>
    </row>
    <row r="131">
      <c r="A131" s="8" t="n"/>
      <c r="B131" s="8" t="n"/>
      <c r="C131" s="8" t="n"/>
      <c r="D131" s="9" t="n"/>
      <c r="E131" s="10">
        <f>IF(B131="","",IF(B131&lt;=$C$3,3,IF(B131&lt;=$E$3,2,1)))</f>
        <v/>
      </c>
      <c r="F131" s="10">
        <f>IF(C131="","",IF(C131&gt;=$C$4,3,IF(C131&gt;=$E$4,2,1)))</f>
        <v/>
      </c>
      <c r="G131" s="10">
        <f>IF(D131="","",IF(D131&gt;=$C$5,3,IF(D131&gt;=$E$5,2,1)))</f>
        <v/>
      </c>
      <c r="H131" s="10">
        <f>IF(E131="","",E131&amp;"-"&amp;F131&amp;"-"&amp;G131)</f>
        <v/>
      </c>
      <c r="I131" s="8">
        <f>IF(E131="","",CHOOSE(E131,"Churned","Dormant","Recent")&amp;", "&amp;CHOOSE(F131,"one-off","medium","frequent"))</f>
        <v/>
      </c>
    </row>
    <row r="132">
      <c r="A132" s="8" t="n"/>
      <c r="B132" s="8" t="n"/>
      <c r="C132" s="8" t="n"/>
      <c r="D132" s="9" t="n"/>
      <c r="E132" s="10">
        <f>IF(B132="","",IF(B132&lt;=$C$3,3,IF(B132&lt;=$E$3,2,1)))</f>
        <v/>
      </c>
      <c r="F132" s="10">
        <f>IF(C132="","",IF(C132&gt;=$C$4,3,IF(C132&gt;=$E$4,2,1)))</f>
        <v/>
      </c>
      <c r="G132" s="10">
        <f>IF(D132="","",IF(D132&gt;=$C$5,3,IF(D132&gt;=$E$5,2,1)))</f>
        <v/>
      </c>
      <c r="H132" s="10">
        <f>IF(E132="","",E132&amp;"-"&amp;F132&amp;"-"&amp;G132)</f>
        <v/>
      </c>
      <c r="I132" s="8">
        <f>IF(E132="","",CHOOSE(E132,"Churned","Dormant","Recent")&amp;", "&amp;CHOOSE(F132,"one-off","medium","frequent"))</f>
        <v/>
      </c>
    </row>
    <row r="133">
      <c r="A133" s="8" t="n"/>
      <c r="B133" s="8" t="n"/>
      <c r="C133" s="8" t="n"/>
      <c r="D133" s="9" t="n"/>
      <c r="E133" s="10">
        <f>IF(B133="","",IF(B133&lt;=$C$3,3,IF(B133&lt;=$E$3,2,1)))</f>
        <v/>
      </c>
      <c r="F133" s="10">
        <f>IF(C133="","",IF(C133&gt;=$C$4,3,IF(C133&gt;=$E$4,2,1)))</f>
        <v/>
      </c>
      <c r="G133" s="10">
        <f>IF(D133="","",IF(D133&gt;=$C$5,3,IF(D133&gt;=$E$5,2,1)))</f>
        <v/>
      </c>
      <c r="H133" s="10">
        <f>IF(E133="","",E133&amp;"-"&amp;F133&amp;"-"&amp;G133)</f>
        <v/>
      </c>
      <c r="I133" s="8">
        <f>IF(E133="","",CHOOSE(E133,"Churned","Dormant","Recent")&amp;", "&amp;CHOOSE(F133,"one-off","medium","frequent"))</f>
        <v/>
      </c>
    </row>
    <row r="134">
      <c r="A134" s="8" t="n"/>
      <c r="B134" s="8" t="n"/>
      <c r="C134" s="8" t="n"/>
      <c r="D134" s="9" t="n"/>
      <c r="E134" s="10">
        <f>IF(B134="","",IF(B134&lt;=$C$3,3,IF(B134&lt;=$E$3,2,1)))</f>
        <v/>
      </c>
      <c r="F134" s="10">
        <f>IF(C134="","",IF(C134&gt;=$C$4,3,IF(C134&gt;=$E$4,2,1)))</f>
        <v/>
      </c>
      <c r="G134" s="10">
        <f>IF(D134="","",IF(D134&gt;=$C$5,3,IF(D134&gt;=$E$5,2,1)))</f>
        <v/>
      </c>
      <c r="H134" s="10">
        <f>IF(E134="","",E134&amp;"-"&amp;F134&amp;"-"&amp;G134)</f>
        <v/>
      </c>
      <c r="I134" s="8">
        <f>IF(E134="","",CHOOSE(E134,"Churned","Dormant","Recent")&amp;", "&amp;CHOOSE(F134,"one-off","medium","frequent"))</f>
        <v/>
      </c>
    </row>
    <row r="135">
      <c r="A135" s="8" t="n"/>
      <c r="B135" s="8" t="n"/>
      <c r="C135" s="8" t="n"/>
      <c r="D135" s="9" t="n"/>
      <c r="E135" s="10">
        <f>IF(B135="","",IF(B135&lt;=$C$3,3,IF(B135&lt;=$E$3,2,1)))</f>
        <v/>
      </c>
      <c r="F135" s="10">
        <f>IF(C135="","",IF(C135&gt;=$C$4,3,IF(C135&gt;=$E$4,2,1)))</f>
        <v/>
      </c>
      <c r="G135" s="10">
        <f>IF(D135="","",IF(D135&gt;=$C$5,3,IF(D135&gt;=$E$5,2,1)))</f>
        <v/>
      </c>
      <c r="H135" s="10">
        <f>IF(E135="","",E135&amp;"-"&amp;F135&amp;"-"&amp;G135)</f>
        <v/>
      </c>
      <c r="I135" s="8">
        <f>IF(E135="","",CHOOSE(E135,"Churned","Dormant","Recent")&amp;", "&amp;CHOOSE(F135,"one-off","medium","frequent"))</f>
        <v/>
      </c>
    </row>
    <row r="136">
      <c r="A136" s="8" t="n"/>
      <c r="B136" s="8" t="n"/>
      <c r="C136" s="8" t="n"/>
      <c r="D136" s="9" t="n"/>
      <c r="E136" s="10">
        <f>IF(B136="","",IF(B136&lt;=$C$3,3,IF(B136&lt;=$E$3,2,1)))</f>
        <v/>
      </c>
      <c r="F136" s="10">
        <f>IF(C136="","",IF(C136&gt;=$C$4,3,IF(C136&gt;=$E$4,2,1)))</f>
        <v/>
      </c>
      <c r="G136" s="10">
        <f>IF(D136="","",IF(D136&gt;=$C$5,3,IF(D136&gt;=$E$5,2,1)))</f>
        <v/>
      </c>
      <c r="H136" s="10">
        <f>IF(E136="","",E136&amp;"-"&amp;F136&amp;"-"&amp;G136)</f>
        <v/>
      </c>
      <c r="I136" s="8">
        <f>IF(E136="","",CHOOSE(E136,"Churned","Dormant","Recent")&amp;", "&amp;CHOOSE(F136,"one-off","medium","frequent"))</f>
        <v/>
      </c>
    </row>
    <row r="137">
      <c r="A137" s="8" t="n"/>
      <c r="B137" s="8" t="n"/>
      <c r="C137" s="8" t="n"/>
      <c r="D137" s="9" t="n"/>
      <c r="E137" s="10">
        <f>IF(B137="","",IF(B137&lt;=$C$3,3,IF(B137&lt;=$E$3,2,1)))</f>
        <v/>
      </c>
      <c r="F137" s="10">
        <f>IF(C137="","",IF(C137&gt;=$C$4,3,IF(C137&gt;=$E$4,2,1)))</f>
        <v/>
      </c>
      <c r="G137" s="10">
        <f>IF(D137="","",IF(D137&gt;=$C$5,3,IF(D137&gt;=$E$5,2,1)))</f>
        <v/>
      </c>
      <c r="H137" s="10">
        <f>IF(E137="","",E137&amp;"-"&amp;F137&amp;"-"&amp;G137)</f>
        <v/>
      </c>
      <c r="I137" s="8">
        <f>IF(E137="","",CHOOSE(E137,"Churned","Dormant","Recent")&amp;", "&amp;CHOOSE(F137,"one-off","medium","frequent"))</f>
        <v/>
      </c>
    </row>
    <row r="138">
      <c r="A138" s="8" t="n"/>
      <c r="B138" s="8" t="n"/>
      <c r="C138" s="8" t="n"/>
      <c r="D138" s="9" t="n"/>
      <c r="E138" s="10">
        <f>IF(B138="","",IF(B138&lt;=$C$3,3,IF(B138&lt;=$E$3,2,1)))</f>
        <v/>
      </c>
      <c r="F138" s="10">
        <f>IF(C138="","",IF(C138&gt;=$C$4,3,IF(C138&gt;=$E$4,2,1)))</f>
        <v/>
      </c>
      <c r="G138" s="10">
        <f>IF(D138="","",IF(D138&gt;=$C$5,3,IF(D138&gt;=$E$5,2,1)))</f>
        <v/>
      </c>
      <c r="H138" s="10">
        <f>IF(E138="","",E138&amp;"-"&amp;F138&amp;"-"&amp;G138)</f>
        <v/>
      </c>
      <c r="I138" s="8">
        <f>IF(E138="","",CHOOSE(E138,"Churned","Dormant","Recent")&amp;", "&amp;CHOOSE(F138,"one-off","medium","frequent"))</f>
        <v/>
      </c>
    </row>
    <row r="139">
      <c r="A139" s="8" t="n"/>
      <c r="B139" s="8" t="n"/>
      <c r="C139" s="8" t="n"/>
      <c r="D139" s="9" t="n"/>
      <c r="E139" s="10">
        <f>IF(B139="","",IF(B139&lt;=$C$3,3,IF(B139&lt;=$E$3,2,1)))</f>
        <v/>
      </c>
      <c r="F139" s="10">
        <f>IF(C139="","",IF(C139&gt;=$C$4,3,IF(C139&gt;=$E$4,2,1)))</f>
        <v/>
      </c>
      <c r="G139" s="10">
        <f>IF(D139="","",IF(D139&gt;=$C$5,3,IF(D139&gt;=$E$5,2,1)))</f>
        <v/>
      </c>
      <c r="H139" s="10">
        <f>IF(E139="","",E139&amp;"-"&amp;F139&amp;"-"&amp;G139)</f>
        <v/>
      </c>
      <c r="I139" s="8">
        <f>IF(E139="","",CHOOSE(E139,"Churned","Dormant","Recent")&amp;", "&amp;CHOOSE(F139,"one-off","medium","frequent"))</f>
        <v/>
      </c>
    </row>
    <row r="140">
      <c r="A140" s="8" t="n"/>
      <c r="B140" s="8" t="n"/>
      <c r="C140" s="8" t="n"/>
      <c r="D140" s="9" t="n"/>
      <c r="E140" s="10">
        <f>IF(B140="","",IF(B140&lt;=$C$3,3,IF(B140&lt;=$E$3,2,1)))</f>
        <v/>
      </c>
      <c r="F140" s="10">
        <f>IF(C140="","",IF(C140&gt;=$C$4,3,IF(C140&gt;=$E$4,2,1)))</f>
        <v/>
      </c>
      <c r="G140" s="10">
        <f>IF(D140="","",IF(D140&gt;=$C$5,3,IF(D140&gt;=$E$5,2,1)))</f>
        <v/>
      </c>
      <c r="H140" s="10">
        <f>IF(E140="","",E140&amp;"-"&amp;F140&amp;"-"&amp;G140)</f>
        <v/>
      </c>
      <c r="I140" s="8">
        <f>IF(E140="","",CHOOSE(E140,"Churned","Dormant","Recent")&amp;", "&amp;CHOOSE(F140,"one-off","medium","frequent"))</f>
        <v/>
      </c>
    </row>
    <row r="141">
      <c r="A141" s="8" t="n"/>
      <c r="B141" s="8" t="n"/>
      <c r="C141" s="8" t="n"/>
      <c r="D141" s="9" t="n"/>
      <c r="E141" s="10">
        <f>IF(B141="","",IF(B141&lt;=$C$3,3,IF(B141&lt;=$E$3,2,1)))</f>
        <v/>
      </c>
      <c r="F141" s="10">
        <f>IF(C141="","",IF(C141&gt;=$C$4,3,IF(C141&gt;=$E$4,2,1)))</f>
        <v/>
      </c>
      <c r="G141" s="10">
        <f>IF(D141="","",IF(D141&gt;=$C$5,3,IF(D141&gt;=$E$5,2,1)))</f>
        <v/>
      </c>
      <c r="H141" s="10">
        <f>IF(E141="","",E141&amp;"-"&amp;F141&amp;"-"&amp;G141)</f>
        <v/>
      </c>
      <c r="I141" s="8">
        <f>IF(E141="","",CHOOSE(E141,"Churned","Dormant","Recent")&amp;", "&amp;CHOOSE(F141,"one-off","medium","frequent"))</f>
        <v/>
      </c>
    </row>
    <row r="142">
      <c r="A142" s="8" t="n"/>
      <c r="B142" s="8" t="n"/>
      <c r="C142" s="8" t="n"/>
      <c r="D142" s="9" t="n"/>
      <c r="E142" s="10">
        <f>IF(B142="","",IF(B142&lt;=$C$3,3,IF(B142&lt;=$E$3,2,1)))</f>
        <v/>
      </c>
      <c r="F142" s="10">
        <f>IF(C142="","",IF(C142&gt;=$C$4,3,IF(C142&gt;=$E$4,2,1)))</f>
        <v/>
      </c>
      <c r="G142" s="10">
        <f>IF(D142="","",IF(D142&gt;=$C$5,3,IF(D142&gt;=$E$5,2,1)))</f>
        <v/>
      </c>
      <c r="H142" s="10">
        <f>IF(E142="","",E142&amp;"-"&amp;F142&amp;"-"&amp;G142)</f>
        <v/>
      </c>
      <c r="I142" s="8">
        <f>IF(E142="","",CHOOSE(E142,"Churned","Dormant","Recent")&amp;", "&amp;CHOOSE(F142,"one-off","medium","frequent"))</f>
        <v/>
      </c>
    </row>
    <row r="143">
      <c r="A143" s="8" t="n"/>
      <c r="B143" s="8" t="n"/>
      <c r="C143" s="8" t="n"/>
      <c r="D143" s="9" t="n"/>
      <c r="E143" s="10">
        <f>IF(B143="","",IF(B143&lt;=$C$3,3,IF(B143&lt;=$E$3,2,1)))</f>
        <v/>
      </c>
      <c r="F143" s="10">
        <f>IF(C143="","",IF(C143&gt;=$C$4,3,IF(C143&gt;=$E$4,2,1)))</f>
        <v/>
      </c>
      <c r="G143" s="10">
        <f>IF(D143="","",IF(D143&gt;=$C$5,3,IF(D143&gt;=$E$5,2,1)))</f>
        <v/>
      </c>
      <c r="H143" s="10">
        <f>IF(E143="","",E143&amp;"-"&amp;F143&amp;"-"&amp;G143)</f>
        <v/>
      </c>
      <c r="I143" s="8">
        <f>IF(E143="","",CHOOSE(E143,"Churned","Dormant","Recent")&amp;", "&amp;CHOOSE(F143,"one-off","medium","frequent"))</f>
        <v/>
      </c>
    </row>
    <row r="144">
      <c r="A144" s="8" t="n"/>
      <c r="B144" s="8" t="n"/>
      <c r="C144" s="8" t="n"/>
      <c r="D144" s="9" t="n"/>
      <c r="E144" s="10">
        <f>IF(B144="","",IF(B144&lt;=$C$3,3,IF(B144&lt;=$E$3,2,1)))</f>
        <v/>
      </c>
      <c r="F144" s="10">
        <f>IF(C144="","",IF(C144&gt;=$C$4,3,IF(C144&gt;=$E$4,2,1)))</f>
        <v/>
      </c>
      <c r="G144" s="10">
        <f>IF(D144="","",IF(D144&gt;=$C$5,3,IF(D144&gt;=$E$5,2,1)))</f>
        <v/>
      </c>
      <c r="H144" s="10">
        <f>IF(E144="","",E144&amp;"-"&amp;F144&amp;"-"&amp;G144)</f>
        <v/>
      </c>
      <c r="I144" s="8">
        <f>IF(E144="","",CHOOSE(E144,"Churned","Dormant","Recent")&amp;", "&amp;CHOOSE(F144,"one-off","medium","frequent"))</f>
        <v/>
      </c>
    </row>
    <row r="145">
      <c r="A145" s="8" t="n"/>
      <c r="B145" s="8" t="n"/>
      <c r="C145" s="8" t="n"/>
      <c r="D145" s="9" t="n"/>
      <c r="E145" s="10">
        <f>IF(B145="","",IF(B145&lt;=$C$3,3,IF(B145&lt;=$E$3,2,1)))</f>
        <v/>
      </c>
      <c r="F145" s="10">
        <f>IF(C145="","",IF(C145&gt;=$C$4,3,IF(C145&gt;=$E$4,2,1)))</f>
        <v/>
      </c>
      <c r="G145" s="10">
        <f>IF(D145="","",IF(D145&gt;=$C$5,3,IF(D145&gt;=$E$5,2,1)))</f>
        <v/>
      </c>
      <c r="H145" s="10">
        <f>IF(E145="","",E145&amp;"-"&amp;F145&amp;"-"&amp;G145)</f>
        <v/>
      </c>
      <c r="I145" s="8">
        <f>IF(E145="","",CHOOSE(E145,"Churned","Dormant","Recent")&amp;", "&amp;CHOOSE(F145,"one-off","medium","frequent"))</f>
        <v/>
      </c>
    </row>
    <row r="146">
      <c r="A146" s="8" t="n"/>
      <c r="B146" s="8" t="n"/>
      <c r="C146" s="8" t="n"/>
      <c r="D146" s="9" t="n"/>
      <c r="E146" s="10">
        <f>IF(B146="","",IF(B146&lt;=$C$3,3,IF(B146&lt;=$E$3,2,1)))</f>
        <v/>
      </c>
      <c r="F146" s="10">
        <f>IF(C146="","",IF(C146&gt;=$C$4,3,IF(C146&gt;=$E$4,2,1)))</f>
        <v/>
      </c>
      <c r="G146" s="10">
        <f>IF(D146="","",IF(D146&gt;=$C$5,3,IF(D146&gt;=$E$5,2,1)))</f>
        <v/>
      </c>
      <c r="H146" s="10">
        <f>IF(E146="","",E146&amp;"-"&amp;F146&amp;"-"&amp;G146)</f>
        <v/>
      </c>
      <c r="I146" s="8">
        <f>IF(E146="","",CHOOSE(E146,"Churned","Dormant","Recent")&amp;", "&amp;CHOOSE(F146,"one-off","medium","frequent"))</f>
        <v/>
      </c>
    </row>
    <row r="147">
      <c r="A147" s="8" t="n"/>
      <c r="B147" s="8" t="n"/>
      <c r="C147" s="8" t="n"/>
      <c r="D147" s="9" t="n"/>
      <c r="E147" s="10">
        <f>IF(B147="","",IF(B147&lt;=$C$3,3,IF(B147&lt;=$E$3,2,1)))</f>
        <v/>
      </c>
      <c r="F147" s="10">
        <f>IF(C147="","",IF(C147&gt;=$C$4,3,IF(C147&gt;=$E$4,2,1)))</f>
        <v/>
      </c>
      <c r="G147" s="10">
        <f>IF(D147="","",IF(D147&gt;=$C$5,3,IF(D147&gt;=$E$5,2,1)))</f>
        <v/>
      </c>
      <c r="H147" s="10">
        <f>IF(E147="","",E147&amp;"-"&amp;F147&amp;"-"&amp;G147)</f>
        <v/>
      </c>
      <c r="I147" s="8">
        <f>IF(E147="","",CHOOSE(E147,"Churned","Dormant","Recent")&amp;", "&amp;CHOOSE(F147,"one-off","medium","frequent"))</f>
        <v/>
      </c>
    </row>
    <row r="148">
      <c r="A148" s="8" t="n"/>
      <c r="B148" s="8" t="n"/>
      <c r="C148" s="8" t="n"/>
      <c r="D148" s="9" t="n"/>
      <c r="E148" s="10">
        <f>IF(B148="","",IF(B148&lt;=$C$3,3,IF(B148&lt;=$E$3,2,1)))</f>
        <v/>
      </c>
      <c r="F148" s="10">
        <f>IF(C148="","",IF(C148&gt;=$C$4,3,IF(C148&gt;=$E$4,2,1)))</f>
        <v/>
      </c>
      <c r="G148" s="10">
        <f>IF(D148="","",IF(D148&gt;=$C$5,3,IF(D148&gt;=$E$5,2,1)))</f>
        <v/>
      </c>
      <c r="H148" s="10">
        <f>IF(E148="","",E148&amp;"-"&amp;F148&amp;"-"&amp;G148)</f>
        <v/>
      </c>
      <c r="I148" s="8">
        <f>IF(E148="","",CHOOSE(E148,"Churned","Dormant","Recent")&amp;", "&amp;CHOOSE(F148,"one-off","medium","frequent"))</f>
        <v/>
      </c>
    </row>
    <row r="149">
      <c r="A149" s="8" t="n"/>
      <c r="B149" s="8" t="n"/>
      <c r="C149" s="8" t="n"/>
      <c r="D149" s="9" t="n"/>
      <c r="E149" s="10">
        <f>IF(B149="","",IF(B149&lt;=$C$3,3,IF(B149&lt;=$E$3,2,1)))</f>
        <v/>
      </c>
      <c r="F149" s="10">
        <f>IF(C149="","",IF(C149&gt;=$C$4,3,IF(C149&gt;=$E$4,2,1)))</f>
        <v/>
      </c>
      <c r="G149" s="10">
        <f>IF(D149="","",IF(D149&gt;=$C$5,3,IF(D149&gt;=$E$5,2,1)))</f>
        <v/>
      </c>
      <c r="H149" s="10">
        <f>IF(E149="","",E149&amp;"-"&amp;F149&amp;"-"&amp;G149)</f>
        <v/>
      </c>
      <c r="I149" s="8">
        <f>IF(E149="","",CHOOSE(E149,"Churned","Dormant","Recent")&amp;", "&amp;CHOOSE(F149,"one-off","medium","frequent"))</f>
        <v/>
      </c>
    </row>
    <row r="150">
      <c r="A150" s="8" t="n"/>
      <c r="B150" s="8" t="n"/>
      <c r="C150" s="8" t="n"/>
      <c r="D150" s="9" t="n"/>
      <c r="E150" s="10">
        <f>IF(B150="","",IF(B150&lt;=$C$3,3,IF(B150&lt;=$E$3,2,1)))</f>
        <v/>
      </c>
      <c r="F150" s="10">
        <f>IF(C150="","",IF(C150&gt;=$C$4,3,IF(C150&gt;=$E$4,2,1)))</f>
        <v/>
      </c>
      <c r="G150" s="10">
        <f>IF(D150="","",IF(D150&gt;=$C$5,3,IF(D150&gt;=$E$5,2,1)))</f>
        <v/>
      </c>
      <c r="H150" s="10">
        <f>IF(E150="","",E150&amp;"-"&amp;F150&amp;"-"&amp;G150)</f>
        <v/>
      </c>
      <c r="I150" s="8">
        <f>IF(E150="","",CHOOSE(E150,"Churned","Dormant","Recent")&amp;", "&amp;CHOOSE(F150,"one-off","medium","frequent"))</f>
        <v/>
      </c>
    </row>
    <row r="151">
      <c r="A151" s="8" t="n"/>
      <c r="B151" s="8" t="n"/>
      <c r="C151" s="8" t="n"/>
      <c r="D151" s="9" t="n"/>
      <c r="E151" s="10">
        <f>IF(B151="","",IF(B151&lt;=$C$3,3,IF(B151&lt;=$E$3,2,1)))</f>
        <v/>
      </c>
      <c r="F151" s="10">
        <f>IF(C151="","",IF(C151&gt;=$C$4,3,IF(C151&gt;=$E$4,2,1)))</f>
        <v/>
      </c>
      <c r="G151" s="10">
        <f>IF(D151="","",IF(D151&gt;=$C$5,3,IF(D151&gt;=$E$5,2,1)))</f>
        <v/>
      </c>
      <c r="H151" s="10">
        <f>IF(E151="","",E151&amp;"-"&amp;F151&amp;"-"&amp;G151)</f>
        <v/>
      </c>
      <c r="I151" s="8">
        <f>IF(E151="","",CHOOSE(E151,"Churned","Dormant","Recent")&amp;", "&amp;CHOOSE(F151,"one-off","medium","frequent"))</f>
        <v/>
      </c>
    </row>
    <row r="152">
      <c r="A152" s="8" t="n"/>
      <c r="B152" s="8" t="n"/>
      <c r="C152" s="8" t="n"/>
      <c r="D152" s="9" t="n"/>
      <c r="E152" s="10">
        <f>IF(B152="","",IF(B152&lt;=$C$3,3,IF(B152&lt;=$E$3,2,1)))</f>
        <v/>
      </c>
      <c r="F152" s="10">
        <f>IF(C152="","",IF(C152&gt;=$C$4,3,IF(C152&gt;=$E$4,2,1)))</f>
        <v/>
      </c>
      <c r="G152" s="10">
        <f>IF(D152="","",IF(D152&gt;=$C$5,3,IF(D152&gt;=$E$5,2,1)))</f>
        <v/>
      </c>
      <c r="H152" s="10">
        <f>IF(E152="","",E152&amp;"-"&amp;F152&amp;"-"&amp;G152)</f>
        <v/>
      </c>
      <c r="I152" s="8">
        <f>IF(E152="","",CHOOSE(E152,"Churned","Dormant","Recent")&amp;", "&amp;CHOOSE(F152,"one-off","medium","frequent"))</f>
        <v/>
      </c>
    </row>
    <row r="153">
      <c r="A153" s="8" t="n"/>
      <c r="B153" s="8" t="n"/>
      <c r="C153" s="8" t="n"/>
      <c r="D153" s="9" t="n"/>
      <c r="E153" s="10">
        <f>IF(B153="","",IF(B153&lt;=$C$3,3,IF(B153&lt;=$E$3,2,1)))</f>
        <v/>
      </c>
      <c r="F153" s="10">
        <f>IF(C153="","",IF(C153&gt;=$C$4,3,IF(C153&gt;=$E$4,2,1)))</f>
        <v/>
      </c>
      <c r="G153" s="10">
        <f>IF(D153="","",IF(D153&gt;=$C$5,3,IF(D153&gt;=$E$5,2,1)))</f>
        <v/>
      </c>
      <c r="H153" s="10">
        <f>IF(E153="","",E153&amp;"-"&amp;F153&amp;"-"&amp;G153)</f>
        <v/>
      </c>
      <c r="I153" s="8">
        <f>IF(E153="","",CHOOSE(E153,"Churned","Dormant","Recent")&amp;", "&amp;CHOOSE(F153,"one-off","medium","frequent"))</f>
        <v/>
      </c>
    </row>
    <row r="154">
      <c r="A154" s="8" t="n"/>
      <c r="B154" s="8" t="n"/>
      <c r="C154" s="8" t="n"/>
      <c r="D154" s="9" t="n"/>
      <c r="E154" s="10">
        <f>IF(B154="","",IF(B154&lt;=$C$3,3,IF(B154&lt;=$E$3,2,1)))</f>
        <v/>
      </c>
      <c r="F154" s="10">
        <f>IF(C154="","",IF(C154&gt;=$C$4,3,IF(C154&gt;=$E$4,2,1)))</f>
        <v/>
      </c>
      <c r="G154" s="10">
        <f>IF(D154="","",IF(D154&gt;=$C$5,3,IF(D154&gt;=$E$5,2,1)))</f>
        <v/>
      </c>
      <c r="H154" s="10">
        <f>IF(E154="","",E154&amp;"-"&amp;F154&amp;"-"&amp;G154)</f>
        <v/>
      </c>
      <c r="I154" s="8">
        <f>IF(E154="","",CHOOSE(E154,"Churned","Dormant","Recent")&amp;", "&amp;CHOOSE(F154,"one-off","medium","frequent"))</f>
        <v/>
      </c>
    </row>
    <row r="155">
      <c r="A155" s="8" t="n"/>
      <c r="B155" s="8" t="n"/>
      <c r="C155" s="8" t="n"/>
      <c r="D155" s="9" t="n"/>
      <c r="E155" s="10">
        <f>IF(B155="","",IF(B155&lt;=$C$3,3,IF(B155&lt;=$E$3,2,1)))</f>
        <v/>
      </c>
      <c r="F155" s="10">
        <f>IF(C155="","",IF(C155&gt;=$C$4,3,IF(C155&gt;=$E$4,2,1)))</f>
        <v/>
      </c>
      <c r="G155" s="10">
        <f>IF(D155="","",IF(D155&gt;=$C$5,3,IF(D155&gt;=$E$5,2,1)))</f>
        <v/>
      </c>
      <c r="H155" s="10">
        <f>IF(E155="","",E155&amp;"-"&amp;F155&amp;"-"&amp;G155)</f>
        <v/>
      </c>
      <c r="I155" s="8">
        <f>IF(E155="","",CHOOSE(E155,"Churned","Dormant","Recent")&amp;", "&amp;CHOOSE(F155,"one-off","medium","frequent"))</f>
        <v/>
      </c>
    </row>
    <row r="156">
      <c r="A156" s="8" t="n"/>
      <c r="B156" s="8" t="n"/>
      <c r="C156" s="8" t="n"/>
      <c r="D156" s="9" t="n"/>
      <c r="E156" s="10">
        <f>IF(B156="","",IF(B156&lt;=$C$3,3,IF(B156&lt;=$E$3,2,1)))</f>
        <v/>
      </c>
      <c r="F156" s="10">
        <f>IF(C156="","",IF(C156&gt;=$C$4,3,IF(C156&gt;=$E$4,2,1)))</f>
        <v/>
      </c>
      <c r="G156" s="10">
        <f>IF(D156="","",IF(D156&gt;=$C$5,3,IF(D156&gt;=$E$5,2,1)))</f>
        <v/>
      </c>
      <c r="H156" s="10">
        <f>IF(E156="","",E156&amp;"-"&amp;F156&amp;"-"&amp;G156)</f>
        <v/>
      </c>
      <c r="I156" s="8">
        <f>IF(E156="","",CHOOSE(E156,"Churned","Dormant","Recent")&amp;", "&amp;CHOOSE(F156,"one-off","medium","frequent"))</f>
        <v/>
      </c>
    </row>
    <row r="157">
      <c r="A157" s="8" t="n"/>
      <c r="B157" s="8" t="n"/>
      <c r="C157" s="8" t="n"/>
      <c r="D157" s="9" t="n"/>
      <c r="E157" s="10">
        <f>IF(B157="","",IF(B157&lt;=$C$3,3,IF(B157&lt;=$E$3,2,1)))</f>
        <v/>
      </c>
      <c r="F157" s="10">
        <f>IF(C157="","",IF(C157&gt;=$C$4,3,IF(C157&gt;=$E$4,2,1)))</f>
        <v/>
      </c>
      <c r="G157" s="10">
        <f>IF(D157="","",IF(D157&gt;=$C$5,3,IF(D157&gt;=$E$5,2,1)))</f>
        <v/>
      </c>
      <c r="H157" s="10">
        <f>IF(E157="","",E157&amp;"-"&amp;F157&amp;"-"&amp;G157)</f>
        <v/>
      </c>
      <c r="I157" s="8">
        <f>IF(E157="","",CHOOSE(E157,"Churned","Dormant","Recent")&amp;", "&amp;CHOOSE(F157,"one-off","medium","frequent"))</f>
        <v/>
      </c>
    </row>
    <row r="158">
      <c r="A158" s="8" t="n"/>
      <c r="B158" s="8" t="n"/>
      <c r="C158" s="8" t="n"/>
      <c r="D158" s="9" t="n"/>
      <c r="E158" s="10">
        <f>IF(B158="","",IF(B158&lt;=$C$3,3,IF(B158&lt;=$E$3,2,1)))</f>
        <v/>
      </c>
      <c r="F158" s="10">
        <f>IF(C158="","",IF(C158&gt;=$C$4,3,IF(C158&gt;=$E$4,2,1)))</f>
        <v/>
      </c>
      <c r="G158" s="10">
        <f>IF(D158="","",IF(D158&gt;=$C$5,3,IF(D158&gt;=$E$5,2,1)))</f>
        <v/>
      </c>
      <c r="H158" s="10">
        <f>IF(E158="","",E158&amp;"-"&amp;F158&amp;"-"&amp;G158)</f>
        <v/>
      </c>
      <c r="I158" s="8">
        <f>IF(E158="","",CHOOSE(E158,"Churned","Dormant","Recent")&amp;", "&amp;CHOOSE(F158,"one-off","medium","frequent"))</f>
        <v/>
      </c>
    </row>
    <row r="159">
      <c r="A159" s="8" t="n"/>
      <c r="B159" s="8" t="n"/>
      <c r="C159" s="8" t="n"/>
      <c r="D159" s="9" t="n"/>
      <c r="E159" s="10">
        <f>IF(B159="","",IF(B159&lt;=$C$3,3,IF(B159&lt;=$E$3,2,1)))</f>
        <v/>
      </c>
      <c r="F159" s="10">
        <f>IF(C159="","",IF(C159&gt;=$C$4,3,IF(C159&gt;=$E$4,2,1)))</f>
        <v/>
      </c>
      <c r="G159" s="10">
        <f>IF(D159="","",IF(D159&gt;=$C$5,3,IF(D159&gt;=$E$5,2,1)))</f>
        <v/>
      </c>
      <c r="H159" s="10">
        <f>IF(E159="","",E159&amp;"-"&amp;F159&amp;"-"&amp;G159)</f>
        <v/>
      </c>
      <c r="I159" s="8">
        <f>IF(E159="","",CHOOSE(E159,"Churned","Dormant","Recent")&amp;", "&amp;CHOOSE(F159,"one-off","medium","frequent"))</f>
        <v/>
      </c>
    </row>
    <row r="160">
      <c r="A160" s="8" t="n"/>
      <c r="B160" s="8" t="n"/>
      <c r="C160" s="8" t="n"/>
      <c r="D160" s="9" t="n"/>
      <c r="E160" s="10">
        <f>IF(B160="","",IF(B160&lt;=$C$3,3,IF(B160&lt;=$E$3,2,1)))</f>
        <v/>
      </c>
      <c r="F160" s="10">
        <f>IF(C160="","",IF(C160&gt;=$C$4,3,IF(C160&gt;=$E$4,2,1)))</f>
        <v/>
      </c>
      <c r="G160" s="10">
        <f>IF(D160="","",IF(D160&gt;=$C$5,3,IF(D160&gt;=$E$5,2,1)))</f>
        <v/>
      </c>
      <c r="H160" s="10">
        <f>IF(E160="","",E160&amp;"-"&amp;F160&amp;"-"&amp;G160)</f>
        <v/>
      </c>
      <c r="I160" s="8">
        <f>IF(E160="","",CHOOSE(E160,"Churned","Dormant","Recent")&amp;", "&amp;CHOOSE(F160,"one-off","medium","frequent"))</f>
        <v/>
      </c>
    </row>
    <row r="161">
      <c r="A161" s="8" t="n"/>
      <c r="B161" s="8" t="n"/>
      <c r="C161" s="8" t="n"/>
      <c r="D161" s="9" t="n"/>
      <c r="E161" s="10">
        <f>IF(B161="","",IF(B161&lt;=$C$3,3,IF(B161&lt;=$E$3,2,1)))</f>
        <v/>
      </c>
      <c r="F161" s="10">
        <f>IF(C161="","",IF(C161&gt;=$C$4,3,IF(C161&gt;=$E$4,2,1)))</f>
        <v/>
      </c>
      <c r="G161" s="10">
        <f>IF(D161="","",IF(D161&gt;=$C$5,3,IF(D161&gt;=$E$5,2,1)))</f>
        <v/>
      </c>
      <c r="H161" s="10">
        <f>IF(E161="","",E161&amp;"-"&amp;F161&amp;"-"&amp;G161)</f>
        <v/>
      </c>
      <c r="I161" s="8">
        <f>IF(E161="","",CHOOSE(E161,"Churned","Dormant","Recent")&amp;", "&amp;CHOOSE(F161,"one-off","medium","frequent"))</f>
        <v/>
      </c>
    </row>
    <row r="162">
      <c r="A162" s="8" t="n"/>
      <c r="B162" s="8" t="n"/>
      <c r="C162" s="8" t="n"/>
      <c r="D162" s="9" t="n"/>
      <c r="E162" s="10">
        <f>IF(B162="","",IF(B162&lt;=$C$3,3,IF(B162&lt;=$E$3,2,1)))</f>
        <v/>
      </c>
      <c r="F162" s="10">
        <f>IF(C162="","",IF(C162&gt;=$C$4,3,IF(C162&gt;=$E$4,2,1)))</f>
        <v/>
      </c>
      <c r="G162" s="10">
        <f>IF(D162="","",IF(D162&gt;=$C$5,3,IF(D162&gt;=$E$5,2,1)))</f>
        <v/>
      </c>
      <c r="H162" s="10">
        <f>IF(E162="","",E162&amp;"-"&amp;F162&amp;"-"&amp;G162)</f>
        <v/>
      </c>
      <c r="I162" s="8">
        <f>IF(E162="","",CHOOSE(E162,"Churned","Dormant","Recent")&amp;", "&amp;CHOOSE(F162,"one-off","medium","frequent"))</f>
        <v/>
      </c>
    </row>
    <row r="163">
      <c r="A163" s="8" t="n"/>
      <c r="B163" s="8" t="n"/>
      <c r="C163" s="8" t="n"/>
      <c r="D163" s="9" t="n"/>
      <c r="E163" s="10">
        <f>IF(B163="","",IF(B163&lt;=$C$3,3,IF(B163&lt;=$E$3,2,1)))</f>
        <v/>
      </c>
      <c r="F163" s="10">
        <f>IF(C163="","",IF(C163&gt;=$C$4,3,IF(C163&gt;=$E$4,2,1)))</f>
        <v/>
      </c>
      <c r="G163" s="10">
        <f>IF(D163="","",IF(D163&gt;=$C$5,3,IF(D163&gt;=$E$5,2,1)))</f>
        <v/>
      </c>
      <c r="H163" s="10">
        <f>IF(E163="","",E163&amp;"-"&amp;F163&amp;"-"&amp;G163)</f>
        <v/>
      </c>
      <c r="I163" s="8">
        <f>IF(E163="","",CHOOSE(E163,"Churned","Dormant","Recent")&amp;", "&amp;CHOOSE(F163,"one-off","medium","frequent"))</f>
        <v/>
      </c>
    </row>
    <row r="164">
      <c r="A164" s="8" t="n"/>
      <c r="B164" s="8" t="n"/>
      <c r="C164" s="8" t="n"/>
      <c r="D164" s="9" t="n"/>
      <c r="E164" s="10">
        <f>IF(B164="","",IF(B164&lt;=$C$3,3,IF(B164&lt;=$E$3,2,1)))</f>
        <v/>
      </c>
      <c r="F164" s="10">
        <f>IF(C164="","",IF(C164&gt;=$C$4,3,IF(C164&gt;=$E$4,2,1)))</f>
        <v/>
      </c>
      <c r="G164" s="10">
        <f>IF(D164="","",IF(D164&gt;=$C$5,3,IF(D164&gt;=$E$5,2,1)))</f>
        <v/>
      </c>
      <c r="H164" s="10">
        <f>IF(E164="","",E164&amp;"-"&amp;F164&amp;"-"&amp;G164)</f>
        <v/>
      </c>
      <c r="I164" s="8">
        <f>IF(E164="","",CHOOSE(E164,"Churned","Dormant","Recent")&amp;", "&amp;CHOOSE(F164,"one-off","medium","frequent"))</f>
        <v/>
      </c>
    </row>
    <row r="165">
      <c r="A165" s="8" t="n"/>
      <c r="B165" s="8" t="n"/>
      <c r="C165" s="8" t="n"/>
      <c r="D165" s="9" t="n"/>
      <c r="E165" s="10">
        <f>IF(B165="","",IF(B165&lt;=$C$3,3,IF(B165&lt;=$E$3,2,1)))</f>
        <v/>
      </c>
      <c r="F165" s="10">
        <f>IF(C165="","",IF(C165&gt;=$C$4,3,IF(C165&gt;=$E$4,2,1)))</f>
        <v/>
      </c>
      <c r="G165" s="10">
        <f>IF(D165="","",IF(D165&gt;=$C$5,3,IF(D165&gt;=$E$5,2,1)))</f>
        <v/>
      </c>
      <c r="H165" s="10">
        <f>IF(E165="","",E165&amp;"-"&amp;F165&amp;"-"&amp;G165)</f>
        <v/>
      </c>
      <c r="I165" s="8">
        <f>IF(E165="","",CHOOSE(E165,"Churned","Dormant","Recent")&amp;", "&amp;CHOOSE(F165,"one-off","medium","frequent"))</f>
        <v/>
      </c>
    </row>
    <row r="166">
      <c r="A166" s="8" t="n"/>
      <c r="B166" s="8" t="n"/>
      <c r="C166" s="8" t="n"/>
      <c r="D166" s="9" t="n"/>
      <c r="E166" s="10">
        <f>IF(B166="","",IF(B166&lt;=$C$3,3,IF(B166&lt;=$E$3,2,1)))</f>
        <v/>
      </c>
      <c r="F166" s="10">
        <f>IF(C166="","",IF(C166&gt;=$C$4,3,IF(C166&gt;=$E$4,2,1)))</f>
        <v/>
      </c>
      <c r="G166" s="10">
        <f>IF(D166="","",IF(D166&gt;=$C$5,3,IF(D166&gt;=$E$5,2,1)))</f>
        <v/>
      </c>
      <c r="H166" s="10">
        <f>IF(E166="","",E166&amp;"-"&amp;F166&amp;"-"&amp;G166)</f>
        <v/>
      </c>
      <c r="I166" s="8">
        <f>IF(E166="","",CHOOSE(E166,"Churned","Dormant","Recent")&amp;", "&amp;CHOOSE(F166,"one-off","medium","frequent"))</f>
        <v/>
      </c>
    </row>
    <row r="167">
      <c r="A167" s="8" t="n"/>
      <c r="B167" s="8" t="n"/>
      <c r="C167" s="8" t="n"/>
      <c r="D167" s="9" t="n"/>
      <c r="E167" s="10">
        <f>IF(B167="","",IF(B167&lt;=$C$3,3,IF(B167&lt;=$E$3,2,1)))</f>
        <v/>
      </c>
      <c r="F167" s="10">
        <f>IF(C167="","",IF(C167&gt;=$C$4,3,IF(C167&gt;=$E$4,2,1)))</f>
        <v/>
      </c>
      <c r="G167" s="10">
        <f>IF(D167="","",IF(D167&gt;=$C$5,3,IF(D167&gt;=$E$5,2,1)))</f>
        <v/>
      </c>
      <c r="H167" s="10">
        <f>IF(E167="","",E167&amp;"-"&amp;F167&amp;"-"&amp;G167)</f>
        <v/>
      </c>
      <c r="I167" s="8">
        <f>IF(E167="","",CHOOSE(E167,"Churned","Dormant","Recent")&amp;", "&amp;CHOOSE(F167,"one-off","medium","frequent"))</f>
        <v/>
      </c>
    </row>
    <row r="168">
      <c r="A168" s="8" t="n"/>
      <c r="B168" s="8" t="n"/>
      <c r="C168" s="8" t="n"/>
      <c r="D168" s="9" t="n"/>
      <c r="E168" s="10">
        <f>IF(B168="","",IF(B168&lt;=$C$3,3,IF(B168&lt;=$E$3,2,1)))</f>
        <v/>
      </c>
      <c r="F168" s="10">
        <f>IF(C168="","",IF(C168&gt;=$C$4,3,IF(C168&gt;=$E$4,2,1)))</f>
        <v/>
      </c>
      <c r="G168" s="10">
        <f>IF(D168="","",IF(D168&gt;=$C$5,3,IF(D168&gt;=$E$5,2,1)))</f>
        <v/>
      </c>
      <c r="H168" s="10">
        <f>IF(E168="","",E168&amp;"-"&amp;F168&amp;"-"&amp;G168)</f>
        <v/>
      </c>
      <c r="I168" s="8">
        <f>IF(E168="","",CHOOSE(E168,"Churned","Dormant","Recent")&amp;", "&amp;CHOOSE(F168,"one-off","medium","frequent"))</f>
        <v/>
      </c>
    </row>
    <row r="169">
      <c r="A169" s="8" t="n"/>
      <c r="B169" s="8" t="n"/>
      <c r="C169" s="8" t="n"/>
      <c r="D169" s="9" t="n"/>
      <c r="E169" s="10">
        <f>IF(B169="","",IF(B169&lt;=$C$3,3,IF(B169&lt;=$E$3,2,1)))</f>
        <v/>
      </c>
      <c r="F169" s="10">
        <f>IF(C169="","",IF(C169&gt;=$C$4,3,IF(C169&gt;=$E$4,2,1)))</f>
        <v/>
      </c>
      <c r="G169" s="10">
        <f>IF(D169="","",IF(D169&gt;=$C$5,3,IF(D169&gt;=$E$5,2,1)))</f>
        <v/>
      </c>
      <c r="H169" s="10">
        <f>IF(E169="","",E169&amp;"-"&amp;F169&amp;"-"&amp;G169)</f>
        <v/>
      </c>
      <c r="I169" s="8">
        <f>IF(E169="","",CHOOSE(E169,"Churned","Dormant","Recent")&amp;", "&amp;CHOOSE(F169,"one-off","medium","frequent"))</f>
        <v/>
      </c>
    </row>
    <row r="170">
      <c r="A170" s="8" t="n"/>
      <c r="B170" s="8" t="n"/>
      <c r="C170" s="8" t="n"/>
      <c r="D170" s="9" t="n"/>
      <c r="E170" s="10">
        <f>IF(B170="","",IF(B170&lt;=$C$3,3,IF(B170&lt;=$E$3,2,1)))</f>
        <v/>
      </c>
      <c r="F170" s="10">
        <f>IF(C170="","",IF(C170&gt;=$C$4,3,IF(C170&gt;=$E$4,2,1)))</f>
        <v/>
      </c>
      <c r="G170" s="10">
        <f>IF(D170="","",IF(D170&gt;=$C$5,3,IF(D170&gt;=$E$5,2,1)))</f>
        <v/>
      </c>
      <c r="H170" s="10">
        <f>IF(E170="","",E170&amp;"-"&amp;F170&amp;"-"&amp;G170)</f>
        <v/>
      </c>
      <c r="I170" s="8">
        <f>IF(E170="","",CHOOSE(E170,"Churned","Dormant","Recent")&amp;", "&amp;CHOOSE(F170,"one-off","medium","frequent"))</f>
        <v/>
      </c>
    </row>
    <row r="171">
      <c r="A171" s="8" t="n"/>
      <c r="B171" s="8" t="n"/>
      <c r="C171" s="8" t="n"/>
      <c r="D171" s="9" t="n"/>
      <c r="E171" s="10">
        <f>IF(B171="","",IF(B171&lt;=$C$3,3,IF(B171&lt;=$E$3,2,1)))</f>
        <v/>
      </c>
      <c r="F171" s="10">
        <f>IF(C171="","",IF(C171&gt;=$C$4,3,IF(C171&gt;=$E$4,2,1)))</f>
        <v/>
      </c>
      <c r="G171" s="10">
        <f>IF(D171="","",IF(D171&gt;=$C$5,3,IF(D171&gt;=$E$5,2,1)))</f>
        <v/>
      </c>
      <c r="H171" s="10">
        <f>IF(E171="","",E171&amp;"-"&amp;F171&amp;"-"&amp;G171)</f>
        <v/>
      </c>
      <c r="I171" s="8">
        <f>IF(E171="","",CHOOSE(E171,"Churned","Dormant","Recent")&amp;", "&amp;CHOOSE(F171,"one-off","medium","frequent"))</f>
        <v/>
      </c>
    </row>
    <row r="172">
      <c r="A172" s="8" t="n"/>
      <c r="B172" s="8" t="n"/>
      <c r="C172" s="8" t="n"/>
      <c r="D172" s="9" t="n"/>
      <c r="E172" s="10">
        <f>IF(B172="","",IF(B172&lt;=$C$3,3,IF(B172&lt;=$E$3,2,1)))</f>
        <v/>
      </c>
      <c r="F172" s="10">
        <f>IF(C172="","",IF(C172&gt;=$C$4,3,IF(C172&gt;=$E$4,2,1)))</f>
        <v/>
      </c>
      <c r="G172" s="10">
        <f>IF(D172="","",IF(D172&gt;=$C$5,3,IF(D172&gt;=$E$5,2,1)))</f>
        <v/>
      </c>
      <c r="H172" s="10">
        <f>IF(E172="","",E172&amp;"-"&amp;F172&amp;"-"&amp;G172)</f>
        <v/>
      </c>
      <c r="I172" s="8">
        <f>IF(E172="","",CHOOSE(E172,"Churned","Dormant","Recent")&amp;", "&amp;CHOOSE(F172,"one-off","medium","frequent"))</f>
        <v/>
      </c>
    </row>
    <row r="173">
      <c r="A173" s="8" t="n"/>
      <c r="B173" s="8" t="n"/>
      <c r="C173" s="8" t="n"/>
      <c r="D173" s="9" t="n"/>
      <c r="E173" s="10">
        <f>IF(B173="","",IF(B173&lt;=$C$3,3,IF(B173&lt;=$E$3,2,1)))</f>
        <v/>
      </c>
      <c r="F173" s="10">
        <f>IF(C173="","",IF(C173&gt;=$C$4,3,IF(C173&gt;=$E$4,2,1)))</f>
        <v/>
      </c>
      <c r="G173" s="10">
        <f>IF(D173="","",IF(D173&gt;=$C$5,3,IF(D173&gt;=$E$5,2,1)))</f>
        <v/>
      </c>
      <c r="H173" s="10">
        <f>IF(E173="","",E173&amp;"-"&amp;F173&amp;"-"&amp;G173)</f>
        <v/>
      </c>
      <c r="I173" s="8">
        <f>IF(E173="","",CHOOSE(E173,"Churned","Dormant","Recent")&amp;", "&amp;CHOOSE(F173,"one-off","medium","frequent"))</f>
        <v/>
      </c>
    </row>
    <row r="174">
      <c r="A174" s="8" t="n"/>
      <c r="B174" s="8" t="n"/>
      <c r="C174" s="8" t="n"/>
      <c r="D174" s="9" t="n"/>
      <c r="E174" s="10">
        <f>IF(B174="","",IF(B174&lt;=$C$3,3,IF(B174&lt;=$E$3,2,1)))</f>
        <v/>
      </c>
      <c r="F174" s="10">
        <f>IF(C174="","",IF(C174&gt;=$C$4,3,IF(C174&gt;=$E$4,2,1)))</f>
        <v/>
      </c>
      <c r="G174" s="10">
        <f>IF(D174="","",IF(D174&gt;=$C$5,3,IF(D174&gt;=$E$5,2,1)))</f>
        <v/>
      </c>
      <c r="H174" s="10">
        <f>IF(E174="","",E174&amp;"-"&amp;F174&amp;"-"&amp;G174)</f>
        <v/>
      </c>
      <c r="I174" s="8">
        <f>IF(E174="","",CHOOSE(E174,"Churned","Dormant","Recent")&amp;", "&amp;CHOOSE(F174,"one-off","medium","frequent"))</f>
        <v/>
      </c>
    </row>
    <row r="175">
      <c r="A175" s="8" t="n"/>
      <c r="B175" s="8" t="n"/>
      <c r="C175" s="8" t="n"/>
      <c r="D175" s="9" t="n"/>
      <c r="E175" s="10">
        <f>IF(B175="","",IF(B175&lt;=$C$3,3,IF(B175&lt;=$E$3,2,1)))</f>
        <v/>
      </c>
      <c r="F175" s="10">
        <f>IF(C175="","",IF(C175&gt;=$C$4,3,IF(C175&gt;=$E$4,2,1)))</f>
        <v/>
      </c>
      <c r="G175" s="10">
        <f>IF(D175="","",IF(D175&gt;=$C$5,3,IF(D175&gt;=$E$5,2,1)))</f>
        <v/>
      </c>
      <c r="H175" s="10">
        <f>IF(E175="","",E175&amp;"-"&amp;F175&amp;"-"&amp;G175)</f>
        <v/>
      </c>
      <c r="I175" s="8">
        <f>IF(E175="","",CHOOSE(E175,"Churned","Dormant","Recent")&amp;", "&amp;CHOOSE(F175,"one-off","medium","frequent"))</f>
        <v/>
      </c>
    </row>
    <row r="176">
      <c r="A176" s="8" t="n"/>
      <c r="B176" s="8" t="n"/>
      <c r="C176" s="8" t="n"/>
      <c r="D176" s="9" t="n"/>
      <c r="E176" s="10">
        <f>IF(B176="","",IF(B176&lt;=$C$3,3,IF(B176&lt;=$E$3,2,1)))</f>
        <v/>
      </c>
      <c r="F176" s="10">
        <f>IF(C176="","",IF(C176&gt;=$C$4,3,IF(C176&gt;=$E$4,2,1)))</f>
        <v/>
      </c>
      <c r="G176" s="10">
        <f>IF(D176="","",IF(D176&gt;=$C$5,3,IF(D176&gt;=$E$5,2,1)))</f>
        <v/>
      </c>
      <c r="H176" s="10">
        <f>IF(E176="","",E176&amp;"-"&amp;F176&amp;"-"&amp;G176)</f>
        <v/>
      </c>
      <c r="I176" s="8">
        <f>IF(E176="","",CHOOSE(E176,"Churned","Dormant","Recent")&amp;", "&amp;CHOOSE(F176,"one-off","medium","frequent"))</f>
        <v/>
      </c>
    </row>
    <row r="177">
      <c r="A177" s="8" t="n"/>
      <c r="B177" s="8" t="n"/>
      <c r="C177" s="8" t="n"/>
      <c r="D177" s="9" t="n"/>
      <c r="E177" s="10">
        <f>IF(B177="","",IF(B177&lt;=$C$3,3,IF(B177&lt;=$E$3,2,1)))</f>
        <v/>
      </c>
      <c r="F177" s="10">
        <f>IF(C177="","",IF(C177&gt;=$C$4,3,IF(C177&gt;=$E$4,2,1)))</f>
        <v/>
      </c>
      <c r="G177" s="10">
        <f>IF(D177="","",IF(D177&gt;=$C$5,3,IF(D177&gt;=$E$5,2,1)))</f>
        <v/>
      </c>
      <c r="H177" s="10">
        <f>IF(E177="","",E177&amp;"-"&amp;F177&amp;"-"&amp;G177)</f>
        <v/>
      </c>
      <c r="I177" s="8">
        <f>IF(E177="","",CHOOSE(E177,"Churned","Dormant","Recent")&amp;", "&amp;CHOOSE(F177,"one-off","medium","frequent"))</f>
        <v/>
      </c>
    </row>
    <row r="178">
      <c r="A178" s="8" t="n"/>
      <c r="B178" s="8" t="n"/>
      <c r="C178" s="8" t="n"/>
      <c r="D178" s="9" t="n"/>
      <c r="E178" s="10">
        <f>IF(B178="","",IF(B178&lt;=$C$3,3,IF(B178&lt;=$E$3,2,1)))</f>
        <v/>
      </c>
      <c r="F178" s="10">
        <f>IF(C178="","",IF(C178&gt;=$C$4,3,IF(C178&gt;=$E$4,2,1)))</f>
        <v/>
      </c>
      <c r="G178" s="10">
        <f>IF(D178="","",IF(D178&gt;=$C$5,3,IF(D178&gt;=$E$5,2,1)))</f>
        <v/>
      </c>
      <c r="H178" s="10">
        <f>IF(E178="","",E178&amp;"-"&amp;F178&amp;"-"&amp;G178)</f>
        <v/>
      </c>
      <c r="I178" s="8">
        <f>IF(E178="","",CHOOSE(E178,"Churned","Dormant","Recent")&amp;", "&amp;CHOOSE(F178,"one-off","medium","frequent"))</f>
        <v/>
      </c>
    </row>
    <row r="179">
      <c r="A179" s="8" t="n"/>
      <c r="B179" s="8" t="n"/>
      <c r="C179" s="8" t="n"/>
      <c r="D179" s="9" t="n"/>
      <c r="E179" s="10">
        <f>IF(B179="","",IF(B179&lt;=$C$3,3,IF(B179&lt;=$E$3,2,1)))</f>
        <v/>
      </c>
      <c r="F179" s="10">
        <f>IF(C179="","",IF(C179&gt;=$C$4,3,IF(C179&gt;=$E$4,2,1)))</f>
        <v/>
      </c>
      <c r="G179" s="10">
        <f>IF(D179="","",IF(D179&gt;=$C$5,3,IF(D179&gt;=$E$5,2,1)))</f>
        <v/>
      </c>
      <c r="H179" s="10">
        <f>IF(E179="","",E179&amp;"-"&amp;F179&amp;"-"&amp;G179)</f>
        <v/>
      </c>
      <c r="I179" s="8">
        <f>IF(E179="","",CHOOSE(E179,"Churned","Dormant","Recent")&amp;", "&amp;CHOOSE(F179,"one-off","medium","frequent"))</f>
        <v/>
      </c>
    </row>
    <row r="180">
      <c r="A180" s="8" t="n"/>
      <c r="B180" s="8" t="n"/>
      <c r="C180" s="8" t="n"/>
      <c r="D180" s="9" t="n"/>
      <c r="E180" s="10">
        <f>IF(B180="","",IF(B180&lt;=$C$3,3,IF(B180&lt;=$E$3,2,1)))</f>
        <v/>
      </c>
      <c r="F180" s="10">
        <f>IF(C180="","",IF(C180&gt;=$C$4,3,IF(C180&gt;=$E$4,2,1)))</f>
        <v/>
      </c>
      <c r="G180" s="10">
        <f>IF(D180="","",IF(D180&gt;=$C$5,3,IF(D180&gt;=$E$5,2,1)))</f>
        <v/>
      </c>
      <c r="H180" s="10">
        <f>IF(E180="","",E180&amp;"-"&amp;F180&amp;"-"&amp;G180)</f>
        <v/>
      </c>
      <c r="I180" s="8">
        <f>IF(E180="","",CHOOSE(E180,"Churned","Dormant","Recent")&amp;", "&amp;CHOOSE(F180,"one-off","medium","frequent"))</f>
        <v/>
      </c>
    </row>
    <row r="181">
      <c r="A181" s="8" t="n"/>
      <c r="B181" s="8" t="n"/>
      <c r="C181" s="8" t="n"/>
      <c r="D181" s="9" t="n"/>
      <c r="E181" s="10">
        <f>IF(B181="","",IF(B181&lt;=$C$3,3,IF(B181&lt;=$E$3,2,1)))</f>
        <v/>
      </c>
      <c r="F181" s="10">
        <f>IF(C181="","",IF(C181&gt;=$C$4,3,IF(C181&gt;=$E$4,2,1)))</f>
        <v/>
      </c>
      <c r="G181" s="10">
        <f>IF(D181="","",IF(D181&gt;=$C$5,3,IF(D181&gt;=$E$5,2,1)))</f>
        <v/>
      </c>
      <c r="H181" s="10">
        <f>IF(E181="","",E181&amp;"-"&amp;F181&amp;"-"&amp;G181)</f>
        <v/>
      </c>
      <c r="I181" s="8">
        <f>IF(E181="","",CHOOSE(E181,"Churned","Dormant","Recent")&amp;", "&amp;CHOOSE(F181,"one-off","medium","frequent"))</f>
        <v/>
      </c>
    </row>
    <row r="182">
      <c r="A182" s="8" t="n"/>
      <c r="B182" s="8" t="n"/>
      <c r="C182" s="8" t="n"/>
      <c r="D182" s="9" t="n"/>
      <c r="E182" s="10">
        <f>IF(B182="","",IF(B182&lt;=$C$3,3,IF(B182&lt;=$E$3,2,1)))</f>
        <v/>
      </c>
      <c r="F182" s="10">
        <f>IF(C182="","",IF(C182&gt;=$C$4,3,IF(C182&gt;=$E$4,2,1)))</f>
        <v/>
      </c>
      <c r="G182" s="10">
        <f>IF(D182="","",IF(D182&gt;=$C$5,3,IF(D182&gt;=$E$5,2,1)))</f>
        <v/>
      </c>
      <c r="H182" s="10">
        <f>IF(E182="","",E182&amp;"-"&amp;F182&amp;"-"&amp;G182)</f>
        <v/>
      </c>
      <c r="I182" s="8">
        <f>IF(E182="","",CHOOSE(E182,"Churned","Dormant","Recent")&amp;", "&amp;CHOOSE(F182,"one-off","medium","frequent"))</f>
        <v/>
      </c>
    </row>
    <row r="183">
      <c r="A183" s="8" t="n"/>
      <c r="B183" s="8" t="n"/>
      <c r="C183" s="8" t="n"/>
      <c r="D183" s="9" t="n"/>
      <c r="E183" s="10">
        <f>IF(B183="","",IF(B183&lt;=$C$3,3,IF(B183&lt;=$E$3,2,1)))</f>
        <v/>
      </c>
      <c r="F183" s="10">
        <f>IF(C183="","",IF(C183&gt;=$C$4,3,IF(C183&gt;=$E$4,2,1)))</f>
        <v/>
      </c>
      <c r="G183" s="10">
        <f>IF(D183="","",IF(D183&gt;=$C$5,3,IF(D183&gt;=$E$5,2,1)))</f>
        <v/>
      </c>
      <c r="H183" s="10">
        <f>IF(E183="","",E183&amp;"-"&amp;F183&amp;"-"&amp;G183)</f>
        <v/>
      </c>
      <c r="I183" s="8">
        <f>IF(E183="","",CHOOSE(E183,"Churned","Dormant","Recent")&amp;", "&amp;CHOOSE(F183,"one-off","medium","frequent"))</f>
        <v/>
      </c>
    </row>
    <row r="184">
      <c r="A184" s="8" t="n"/>
      <c r="B184" s="8" t="n"/>
      <c r="C184" s="8" t="n"/>
      <c r="D184" s="9" t="n"/>
      <c r="E184" s="10">
        <f>IF(B184="","",IF(B184&lt;=$C$3,3,IF(B184&lt;=$E$3,2,1)))</f>
        <v/>
      </c>
      <c r="F184" s="10">
        <f>IF(C184="","",IF(C184&gt;=$C$4,3,IF(C184&gt;=$E$4,2,1)))</f>
        <v/>
      </c>
      <c r="G184" s="10">
        <f>IF(D184="","",IF(D184&gt;=$C$5,3,IF(D184&gt;=$E$5,2,1)))</f>
        <v/>
      </c>
      <c r="H184" s="10">
        <f>IF(E184="","",E184&amp;"-"&amp;F184&amp;"-"&amp;G184)</f>
        <v/>
      </c>
      <c r="I184" s="8">
        <f>IF(E184="","",CHOOSE(E184,"Churned","Dormant","Recent")&amp;", "&amp;CHOOSE(F184,"one-off","medium","frequent"))</f>
        <v/>
      </c>
    </row>
    <row r="185">
      <c r="A185" s="8" t="n"/>
      <c r="B185" s="8" t="n"/>
      <c r="C185" s="8" t="n"/>
      <c r="D185" s="9" t="n"/>
      <c r="E185" s="10">
        <f>IF(B185="","",IF(B185&lt;=$C$3,3,IF(B185&lt;=$E$3,2,1)))</f>
        <v/>
      </c>
      <c r="F185" s="10">
        <f>IF(C185="","",IF(C185&gt;=$C$4,3,IF(C185&gt;=$E$4,2,1)))</f>
        <v/>
      </c>
      <c r="G185" s="10">
        <f>IF(D185="","",IF(D185&gt;=$C$5,3,IF(D185&gt;=$E$5,2,1)))</f>
        <v/>
      </c>
      <c r="H185" s="10">
        <f>IF(E185="","",E185&amp;"-"&amp;F185&amp;"-"&amp;G185)</f>
        <v/>
      </c>
      <c r="I185" s="8">
        <f>IF(E185="","",CHOOSE(E185,"Churned","Dormant","Recent")&amp;", "&amp;CHOOSE(F185,"one-off","medium","frequent"))</f>
        <v/>
      </c>
    </row>
    <row r="186">
      <c r="A186" s="8" t="n"/>
      <c r="B186" s="8" t="n"/>
      <c r="C186" s="8" t="n"/>
      <c r="D186" s="9" t="n"/>
      <c r="E186" s="10">
        <f>IF(B186="","",IF(B186&lt;=$C$3,3,IF(B186&lt;=$E$3,2,1)))</f>
        <v/>
      </c>
      <c r="F186" s="10">
        <f>IF(C186="","",IF(C186&gt;=$C$4,3,IF(C186&gt;=$E$4,2,1)))</f>
        <v/>
      </c>
      <c r="G186" s="10">
        <f>IF(D186="","",IF(D186&gt;=$C$5,3,IF(D186&gt;=$E$5,2,1)))</f>
        <v/>
      </c>
      <c r="H186" s="10">
        <f>IF(E186="","",E186&amp;"-"&amp;F186&amp;"-"&amp;G186)</f>
        <v/>
      </c>
      <c r="I186" s="8">
        <f>IF(E186="","",CHOOSE(E186,"Churned","Dormant","Recent")&amp;", "&amp;CHOOSE(F186,"one-off","medium","frequent"))</f>
        <v/>
      </c>
    </row>
    <row r="187">
      <c r="A187" s="8" t="n"/>
      <c r="B187" s="8" t="n"/>
      <c r="C187" s="8" t="n"/>
      <c r="D187" s="9" t="n"/>
      <c r="E187" s="10">
        <f>IF(B187="","",IF(B187&lt;=$C$3,3,IF(B187&lt;=$E$3,2,1)))</f>
        <v/>
      </c>
      <c r="F187" s="10">
        <f>IF(C187="","",IF(C187&gt;=$C$4,3,IF(C187&gt;=$E$4,2,1)))</f>
        <v/>
      </c>
      <c r="G187" s="10">
        <f>IF(D187="","",IF(D187&gt;=$C$5,3,IF(D187&gt;=$E$5,2,1)))</f>
        <v/>
      </c>
      <c r="H187" s="10">
        <f>IF(E187="","",E187&amp;"-"&amp;F187&amp;"-"&amp;G187)</f>
        <v/>
      </c>
      <c r="I187" s="8">
        <f>IF(E187="","",CHOOSE(E187,"Churned","Dormant","Recent")&amp;", "&amp;CHOOSE(F187,"one-off","medium","frequent"))</f>
        <v/>
      </c>
    </row>
    <row r="188">
      <c r="A188" s="8" t="n"/>
      <c r="B188" s="8" t="n"/>
      <c r="C188" s="8" t="n"/>
      <c r="D188" s="9" t="n"/>
      <c r="E188" s="10">
        <f>IF(B188="","",IF(B188&lt;=$C$3,3,IF(B188&lt;=$E$3,2,1)))</f>
        <v/>
      </c>
      <c r="F188" s="10">
        <f>IF(C188="","",IF(C188&gt;=$C$4,3,IF(C188&gt;=$E$4,2,1)))</f>
        <v/>
      </c>
      <c r="G188" s="10">
        <f>IF(D188="","",IF(D188&gt;=$C$5,3,IF(D188&gt;=$E$5,2,1)))</f>
        <v/>
      </c>
      <c r="H188" s="10">
        <f>IF(E188="","",E188&amp;"-"&amp;F188&amp;"-"&amp;G188)</f>
        <v/>
      </c>
      <c r="I188" s="8">
        <f>IF(E188="","",CHOOSE(E188,"Churned","Dormant","Recent")&amp;", "&amp;CHOOSE(F188,"one-off","medium","frequent"))</f>
        <v/>
      </c>
    </row>
    <row r="189">
      <c r="A189" s="8" t="n"/>
      <c r="B189" s="8" t="n"/>
      <c r="C189" s="8" t="n"/>
      <c r="D189" s="9" t="n"/>
      <c r="E189" s="10">
        <f>IF(B189="","",IF(B189&lt;=$C$3,3,IF(B189&lt;=$E$3,2,1)))</f>
        <v/>
      </c>
      <c r="F189" s="10">
        <f>IF(C189="","",IF(C189&gt;=$C$4,3,IF(C189&gt;=$E$4,2,1)))</f>
        <v/>
      </c>
      <c r="G189" s="10">
        <f>IF(D189="","",IF(D189&gt;=$C$5,3,IF(D189&gt;=$E$5,2,1)))</f>
        <v/>
      </c>
      <c r="H189" s="10">
        <f>IF(E189="","",E189&amp;"-"&amp;F189&amp;"-"&amp;G189)</f>
        <v/>
      </c>
      <c r="I189" s="8">
        <f>IF(E189="","",CHOOSE(E189,"Churned","Dormant","Recent")&amp;", "&amp;CHOOSE(F189,"one-off","medium","frequent"))</f>
        <v/>
      </c>
    </row>
    <row r="190">
      <c r="A190" s="8" t="n"/>
      <c r="B190" s="8" t="n"/>
      <c r="C190" s="8" t="n"/>
      <c r="D190" s="9" t="n"/>
      <c r="E190" s="10">
        <f>IF(B190="","",IF(B190&lt;=$C$3,3,IF(B190&lt;=$E$3,2,1)))</f>
        <v/>
      </c>
      <c r="F190" s="10">
        <f>IF(C190="","",IF(C190&gt;=$C$4,3,IF(C190&gt;=$E$4,2,1)))</f>
        <v/>
      </c>
      <c r="G190" s="10">
        <f>IF(D190="","",IF(D190&gt;=$C$5,3,IF(D190&gt;=$E$5,2,1)))</f>
        <v/>
      </c>
      <c r="H190" s="10">
        <f>IF(E190="","",E190&amp;"-"&amp;F190&amp;"-"&amp;G190)</f>
        <v/>
      </c>
      <c r="I190" s="8">
        <f>IF(E190="","",CHOOSE(E190,"Churned","Dormant","Recent")&amp;", "&amp;CHOOSE(F190,"one-off","medium","frequent"))</f>
        <v/>
      </c>
    </row>
    <row r="191">
      <c r="A191" s="8" t="n"/>
      <c r="B191" s="8" t="n"/>
      <c r="C191" s="8" t="n"/>
      <c r="D191" s="9" t="n"/>
      <c r="E191" s="10">
        <f>IF(B191="","",IF(B191&lt;=$C$3,3,IF(B191&lt;=$E$3,2,1)))</f>
        <v/>
      </c>
      <c r="F191" s="10">
        <f>IF(C191="","",IF(C191&gt;=$C$4,3,IF(C191&gt;=$E$4,2,1)))</f>
        <v/>
      </c>
      <c r="G191" s="10">
        <f>IF(D191="","",IF(D191&gt;=$C$5,3,IF(D191&gt;=$E$5,2,1)))</f>
        <v/>
      </c>
      <c r="H191" s="10">
        <f>IF(E191="","",E191&amp;"-"&amp;F191&amp;"-"&amp;G191)</f>
        <v/>
      </c>
      <c r="I191" s="8">
        <f>IF(E191="","",CHOOSE(E191,"Churned","Dormant","Recent")&amp;", "&amp;CHOOSE(F191,"one-off","medium","frequent"))</f>
        <v/>
      </c>
    </row>
    <row r="192">
      <c r="A192" s="8" t="n"/>
      <c r="B192" s="8" t="n"/>
      <c r="C192" s="8" t="n"/>
      <c r="D192" s="9" t="n"/>
      <c r="E192" s="10">
        <f>IF(B192="","",IF(B192&lt;=$C$3,3,IF(B192&lt;=$E$3,2,1)))</f>
        <v/>
      </c>
      <c r="F192" s="10">
        <f>IF(C192="","",IF(C192&gt;=$C$4,3,IF(C192&gt;=$E$4,2,1)))</f>
        <v/>
      </c>
      <c r="G192" s="10">
        <f>IF(D192="","",IF(D192&gt;=$C$5,3,IF(D192&gt;=$E$5,2,1)))</f>
        <v/>
      </c>
      <c r="H192" s="10">
        <f>IF(E192="","",E192&amp;"-"&amp;F192&amp;"-"&amp;G192)</f>
        <v/>
      </c>
      <c r="I192" s="8">
        <f>IF(E192="","",CHOOSE(E192,"Churned","Dormant","Recent")&amp;", "&amp;CHOOSE(F192,"one-off","medium","frequent"))</f>
        <v/>
      </c>
    </row>
    <row r="193">
      <c r="A193" s="8" t="n"/>
      <c r="B193" s="8" t="n"/>
      <c r="C193" s="8" t="n"/>
      <c r="D193" s="9" t="n"/>
      <c r="E193" s="10">
        <f>IF(B193="","",IF(B193&lt;=$C$3,3,IF(B193&lt;=$E$3,2,1)))</f>
        <v/>
      </c>
      <c r="F193" s="10">
        <f>IF(C193="","",IF(C193&gt;=$C$4,3,IF(C193&gt;=$E$4,2,1)))</f>
        <v/>
      </c>
      <c r="G193" s="10">
        <f>IF(D193="","",IF(D193&gt;=$C$5,3,IF(D193&gt;=$E$5,2,1)))</f>
        <v/>
      </c>
      <c r="H193" s="10">
        <f>IF(E193="","",E193&amp;"-"&amp;F193&amp;"-"&amp;G193)</f>
        <v/>
      </c>
      <c r="I193" s="8">
        <f>IF(E193="","",CHOOSE(E193,"Churned","Dormant","Recent")&amp;", "&amp;CHOOSE(F193,"one-off","medium","frequent"))</f>
        <v/>
      </c>
    </row>
    <row r="194">
      <c r="A194" s="8" t="n"/>
      <c r="B194" s="8" t="n"/>
      <c r="C194" s="8" t="n"/>
      <c r="D194" s="9" t="n"/>
      <c r="E194" s="10">
        <f>IF(B194="","",IF(B194&lt;=$C$3,3,IF(B194&lt;=$E$3,2,1)))</f>
        <v/>
      </c>
      <c r="F194" s="10">
        <f>IF(C194="","",IF(C194&gt;=$C$4,3,IF(C194&gt;=$E$4,2,1)))</f>
        <v/>
      </c>
      <c r="G194" s="10">
        <f>IF(D194="","",IF(D194&gt;=$C$5,3,IF(D194&gt;=$E$5,2,1)))</f>
        <v/>
      </c>
      <c r="H194" s="10">
        <f>IF(E194="","",E194&amp;"-"&amp;F194&amp;"-"&amp;G194)</f>
        <v/>
      </c>
      <c r="I194" s="8">
        <f>IF(E194="","",CHOOSE(E194,"Churned","Dormant","Recent")&amp;", "&amp;CHOOSE(F194,"one-off","medium","frequent"))</f>
        <v/>
      </c>
    </row>
    <row r="195">
      <c r="A195" s="8" t="n"/>
      <c r="B195" s="8" t="n"/>
      <c r="C195" s="8" t="n"/>
      <c r="D195" s="9" t="n"/>
      <c r="E195" s="10">
        <f>IF(B195="","",IF(B195&lt;=$C$3,3,IF(B195&lt;=$E$3,2,1)))</f>
        <v/>
      </c>
      <c r="F195" s="10">
        <f>IF(C195="","",IF(C195&gt;=$C$4,3,IF(C195&gt;=$E$4,2,1)))</f>
        <v/>
      </c>
      <c r="G195" s="10">
        <f>IF(D195="","",IF(D195&gt;=$C$5,3,IF(D195&gt;=$E$5,2,1)))</f>
        <v/>
      </c>
      <c r="H195" s="10">
        <f>IF(E195="","",E195&amp;"-"&amp;F195&amp;"-"&amp;G195)</f>
        <v/>
      </c>
      <c r="I195" s="8">
        <f>IF(E195="","",CHOOSE(E195,"Churned","Dormant","Recent")&amp;", "&amp;CHOOSE(F195,"one-off","medium","frequent"))</f>
        <v/>
      </c>
    </row>
    <row r="196">
      <c r="A196" s="8" t="n"/>
      <c r="B196" s="8" t="n"/>
      <c r="C196" s="8" t="n"/>
      <c r="D196" s="9" t="n"/>
      <c r="E196" s="10">
        <f>IF(B196="","",IF(B196&lt;=$C$3,3,IF(B196&lt;=$E$3,2,1)))</f>
        <v/>
      </c>
      <c r="F196" s="10">
        <f>IF(C196="","",IF(C196&gt;=$C$4,3,IF(C196&gt;=$E$4,2,1)))</f>
        <v/>
      </c>
      <c r="G196" s="10">
        <f>IF(D196="","",IF(D196&gt;=$C$5,3,IF(D196&gt;=$E$5,2,1)))</f>
        <v/>
      </c>
      <c r="H196" s="10">
        <f>IF(E196="","",E196&amp;"-"&amp;F196&amp;"-"&amp;G196)</f>
        <v/>
      </c>
      <c r="I196" s="8">
        <f>IF(E196="","",CHOOSE(E196,"Churned","Dormant","Recent")&amp;", "&amp;CHOOSE(F196,"one-off","medium","frequent"))</f>
        <v/>
      </c>
    </row>
    <row r="197">
      <c r="A197" s="8" t="n"/>
      <c r="B197" s="8" t="n"/>
      <c r="C197" s="8" t="n"/>
      <c r="D197" s="9" t="n"/>
      <c r="E197" s="10">
        <f>IF(B197="","",IF(B197&lt;=$C$3,3,IF(B197&lt;=$E$3,2,1)))</f>
        <v/>
      </c>
      <c r="F197" s="10">
        <f>IF(C197="","",IF(C197&gt;=$C$4,3,IF(C197&gt;=$E$4,2,1)))</f>
        <v/>
      </c>
      <c r="G197" s="10">
        <f>IF(D197="","",IF(D197&gt;=$C$5,3,IF(D197&gt;=$E$5,2,1)))</f>
        <v/>
      </c>
      <c r="H197" s="10">
        <f>IF(E197="","",E197&amp;"-"&amp;F197&amp;"-"&amp;G197)</f>
        <v/>
      </c>
      <c r="I197" s="8">
        <f>IF(E197="","",CHOOSE(E197,"Churned","Dormant","Recent")&amp;", "&amp;CHOOSE(F197,"one-off","medium","frequent"))</f>
        <v/>
      </c>
    </row>
    <row r="198">
      <c r="A198" s="8" t="n"/>
      <c r="B198" s="8" t="n"/>
      <c r="C198" s="8" t="n"/>
      <c r="D198" s="9" t="n"/>
      <c r="E198" s="10">
        <f>IF(B198="","",IF(B198&lt;=$C$3,3,IF(B198&lt;=$E$3,2,1)))</f>
        <v/>
      </c>
      <c r="F198" s="10">
        <f>IF(C198="","",IF(C198&gt;=$C$4,3,IF(C198&gt;=$E$4,2,1)))</f>
        <v/>
      </c>
      <c r="G198" s="10">
        <f>IF(D198="","",IF(D198&gt;=$C$5,3,IF(D198&gt;=$E$5,2,1)))</f>
        <v/>
      </c>
      <c r="H198" s="10">
        <f>IF(E198="","",E198&amp;"-"&amp;F198&amp;"-"&amp;G198)</f>
        <v/>
      </c>
      <c r="I198" s="8">
        <f>IF(E198="","",CHOOSE(E198,"Churned","Dormant","Recent")&amp;", "&amp;CHOOSE(F198,"one-off","medium","frequent"))</f>
        <v/>
      </c>
    </row>
    <row r="199">
      <c r="A199" s="8" t="n"/>
      <c r="B199" s="8" t="n"/>
      <c r="C199" s="8" t="n"/>
      <c r="D199" s="9" t="n"/>
      <c r="E199" s="10">
        <f>IF(B199="","",IF(B199&lt;=$C$3,3,IF(B199&lt;=$E$3,2,1)))</f>
        <v/>
      </c>
      <c r="F199" s="10">
        <f>IF(C199="","",IF(C199&gt;=$C$4,3,IF(C199&gt;=$E$4,2,1)))</f>
        <v/>
      </c>
      <c r="G199" s="10">
        <f>IF(D199="","",IF(D199&gt;=$C$5,3,IF(D199&gt;=$E$5,2,1)))</f>
        <v/>
      </c>
      <c r="H199" s="10">
        <f>IF(E199="","",E199&amp;"-"&amp;F199&amp;"-"&amp;G199)</f>
        <v/>
      </c>
      <c r="I199" s="8">
        <f>IF(E199="","",CHOOSE(E199,"Churned","Dormant","Recent")&amp;", "&amp;CHOOSE(F199,"one-off","medium","frequent"))</f>
        <v/>
      </c>
    </row>
    <row r="200">
      <c r="A200" s="8" t="n"/>
      <c r="B200" s="8" t="n"/>
      <c r="C200" s="8" t="n"/>
      <c r="D200" s="9" t="n"/>
      <c r="E200" s="10">
        <f>IF(B200="","",IF(B200&lt;=$C$3,3,IF(B200&lt;=$E$3,2,1)))</f>
        <v/>
      </c>
      <c r="F200" s="10">
        <f>IF(C200="","",IF(C200&gt;=$C$4,3,IF(C200&gt;=$E$4,2,1)))</f>
        <v/>
      </c>
      <c r="G200" s="10">
        <f>IF(D200="","",IF(D200&gt;=$C$5,3,IF(D200&gt;=$E$5,2,1)))</f>
        <v/>
      </c>
      <c r="H200" s="10">
        <f>IF(E200="","",E200&amp;"-"&amp;F200&amp;"-"&amp;G200)</f>
        <v/>
      </c>
      <c r="I200" s="8">
        <f>IF(E200="","",CHOOSE(E200,"Churned","Dormant","Recent")&amp;", "&amp;CHOOSE(F200,"one-off","medium","frequent"))</f>
        <v/>
      </c>
    </row>
    <row r="201">
      <c r="A201" s="8" t="n"/>
      <c r="B201" s="8" t="n"/>
      <c r="C201" s="8" t="n"/>
      <c r="D201" s="9" t="n"/>
      <c r="E201" s="10">
        <f>IF(B201="","",IF(B201&lt;=$C$3,3,IF(B201&lt;=$E$3,2,1)))</f>
        <v/>
      </c>
      <c r="F201" s="10">
        <f>IF(C201="","",IF(C201&gt;=$C$4,3,IF(C201&gt;=$E$4,2,1)))</f>
        <v/>
      </c>
      <c r="G201" s="10">
        <f>IF(D201="","",IF(D201&gt;=$C$5,3,IF(D201&gt;=$E$5,2,1)))</f>
        <v/>
      </c>
      <c r="H201" s="10">
        <f>IF(E201="","",E201&amp;"-"&amp;F201&amp;"-"&amp;G201)</f>
        <v/>
      </c>
      <c r="I201" s="8">
        <f>IF(E201="","",CHOOSE(E201,"Churned","Dormant","Recent")&amp;", "&amp;CHOOSE(F201,"one-off","medium","frequent"))</f>
        <v/>
      </c>
    </row>
    <row r="202">
      <c r="A202" s="8" t="n"/>
      <c r="B202" s="8" t="n"/>
      <c r="C202" s="8" t="n"/>
      <c r="D202" s="9" t="n"/>
      <c r="E202" s="10">
        <f>IF(B202="","",IF(B202&lt;=$C$3,3,IF(B202&lt;=$E$3,2,1)))</f>
        <v/>
      </c>
      <c r="F202" s="10">
        <f>IF(C202="","",IF(C202&gt;=$C$4,3,IF(C202&gt;=$E$4,2,1)))</f>
        <v/>
      </c>
      <c r="G202" s="10">
        <f>IF(D202="","",IF(D202&gt;=$C$5,3,IF(D202&gt;=$E$5,2,1)))</f>
        <v/>
      </c>
      <c r="H202" s="10">
        <f>IF(E202="","",E202&amp;"-"&amp;F202&amp;"-"&amp;G202)</f>
        <v/>
      </c>
      <c r="I202" s="8">
        <f>IF(E202="","",CHOOSE(E202,"Churned","Dormant","Recent")&amp;", "&amp;CHOOSE(F202,"one-off","medium","frequent"))</f>
        <v/>
      </c>
    </row>
    <row r="203">
      <c r="A203" s="8" t="n"/>
      <c r="B203" s="8" t="n"/>
      <c r="C203" s="8" t="n"/>
      <c r="D203" s="9" t="n"/>
      <c r="E203" s="10">
        <f>IF(B203="","",IF(B203&lt;=$C$3,3,IF(B203&lt;=$E$3,2,1)))</f>
        <v/>
      </c>
      <c r="F203" s="10">
        <f>IF(C203="","",IF(C203&gt;=$C$4,3,IF(C203&gt;=$E$4,2,1)))</f>
        <v/>
      </c>
      <c r="G203" s="10">
        <f>IF(D203="","",IF(D203&gt;=$C$5,3,IF(D203&gt;=$E$5,2,1)))</f>
        <v/>
      </c>
      <c r="H203" s="10">
        <f>IF(E203="","",E203&amp;"-"&amp;F203&amp;"-"&amp;G203)</f>
        <v/>
      </c>
      <c r="I203" s="8">
        <f>IF(E203="","",CHOOSE(E203,"Churned","Dormant","Recent")&amp;", "&amp;CHOOSE(F203,"one-off","medium","frequent"))</f>
        <v/>
      </c>
    </row>
    <row r="204">
      <c r="A204" s="8" t="n"/>
      <c r="B204" s="8" t="n"/>
      <c r="C204" s="8" t="n"/>
      <c r="D204" s="9" t="n"/>
      <c r="E204" s="10">
        <f>IF(B204="","",IF(B204&lt;=$C$3,3,IF(B204&lt;=$E$3,2,1)))</f>
        <v/>
      </c>
      <c r="F204" s="10">
        <f>IF(C204="","",IF(C204&gt;=$C$4,3,IF(C204&gt;=$E$4,2,1)))</f>
        <v/>
      </c>
      <c r="G204" s="10">
        <f>IF(D204="","",IF(D204&gt;=$C$5,3,IF(D204&gt;=$E$5,2,1)))</f>
        <v/>
      </c>
      <c r="H204" s="10">
        <f>IF(E204="","",E204&amp;"-"&amp;F204&amp;"-"&amp;G204)</f>
        <v/>
      </c>
      <c r="I204" s="8">
        <f>IF(E204="","",CHOOSE(E204,"Churned","Dormant","Recent")&amp;", "&amp;CHOOSE(F204,"one-off","medium","frequent"))</f>
        <v/>
      </c>
    </row>
    <row r="205">
      <c r="A205" s="8" t="n"/>
      <c r="B205" s="8" t="n"/>
      <c r="C205" s="8" t="n"/>
      <c r="D205" s="9" t="n"/>
      <c r="E205" s="10">
        <f>IF(B205="","",IF(B205&lt;=$C$3,3,IF(B205&lt;=$E$3,2,1)))</f>
        <v/>
      </c>
      <c r="F205" s="10">
        <f>IF(C205="","",IF(C205&gt;=$C$4,3,IF(C205&gt;=$E$4,2,1)))</f>
        <v/>
      </c>
      <c r="G205" s="10">
        <f>IF(D205="","",IF(D205&gt;=$C$5,3,IF(D205&gt;=$E$5,2,1)))</f>
        <v/>
      </c>
      <c r="H205" s="10">
        <f>IF(E205="","",E205&amp;"-"&amp;F205&amp;"-"&amp;G205)</f>
        <v/>
      </c>
      <c r="I205" s="8">
        <f>IF(E205="","",CHOOSE(E205,"Churned","Dormant","Recent")&amp;", "&amp;CHOOSE(F205,"one-off","medium","frequent"))</f>
        <v/>
      </c>
    </row>
    <row r="206">
      <c r="A206" s="8" t="n"/>
      <c r="B206" s="8" t="n"/>
      <c r="C206" s="8" t="n"/>
      <c r="D206" s="9" t="n"/>
      <c r="E206" s="10">
        <f>IF(B206="","",IF(B206&lt;=$C$3,3,IF(B206&lt;=$E$3,2,1)))</f>
        <v/>
      </c>
      <c r="F206" s="10">
        <f>IF(C206="","",IF(C206&gt;=$C$4,3,IF(C206&gt;=$E$4,2,1)))</f>
        <v/>
      </c>
      <c r="G206" s="10">
        <f>IF(D206="","",IF(D206&gt;=$C$5,3,IF(D206&gt;=$E$5,2,1)))</f>
        <v/>
      </c>
      <c r="H206" s="10">
        <f>IF(E206="","",E206&amp;"-"&amp;F206&amp;"-"&amp;G206)</f>
        <v/>
      </c>
      <c r="I206" s="8">
        <f>IF(E206="","",CHOOSE(E206,"Churned","Dormant","Recent")&amp;", "&amp;CHOOSE(F206,"one-off","medium","frequent"))</f>
        <v/>
      </c>
    </row>
    <row r="207">
      <c r="A207" s="8" t="n"/>
      <c r="B207" s="8" t="n"/>
      <c r="C207" s="8" t="n"/>
      <c r="D207" s="9" t="n"/>
      <c r="E207" s="10">
        <f>IF(B207="","",IF(B207&lt;=$C$3,3,IF(B207&lt;=$E$3,2,1)))</f>
        <v/>
      </c>
      <c r="F207" s="10">
        <f>IF(C207="","",IF(C207&gt;=$C$4,3,IF(C207&gt;=$E$4,2,1)))</f>
        <v/>
      </c>
      <c r="G207" s="10">
        <f>IF(D207="","",IF(D207&gt;=$C$5,3,IF(D207&gt;=$E$5,2,1)))</f>
        <v/>
      </c>
      <c r="H207" s="10">
        <f>IF(E207="","",E207&amp;"-"&amp;F207&amp;"-"&amp;G207)</f>
        <v/>
      </c>
      <c r="I207" s="8">
        <f>IF(E207="","",CHOOSE(E207,"Churned","Dormant","Recent")&amp;", "&amp;CHOOSE(F207,"one-off","medium","frequent"))</f>
        <v/>
      </c>
    </row>
    <row r="208">
      <c r="A208" s="8" t="n"/>
      <c r="B208" s="8" t="n"/>
      <c r="C208" s="8" t="n"/>
      <c r="D208" s="9" t="n"/>
      <c r="E208" s="10">
        <f>IF(B208="","",IF(B208&lt;=$C$3,3,IF(B208&lt;=$E$3,2,1)))</f>
        <v/>
      </c>
      <c r="F208" s="10">
        <f>IF(C208="","",IF(C208&gt;=$C$4,3,IF(C208&gt;=$E$4,2,1)))</f>
        <v/>
      </c>
      <c r="G208" s="10">
        <f>IF(D208="","",IF(D208&gt;=$C$5,3,IF(D208&gt;=$E$5,2,1)))</f>
        <v/>
      </c>
      <c r="H208" s="10">
        <f>IF(E208="","",E208&amp;"-"&amp;F208&amp;"-"&amp;G208)</f>
        <v/>
      </c>
      <c r="I208" s="8">
        <f>IF(E208="","",CHOOSE(E208,"Churned","Dormant","Recent")&amp;", "&amp;CHOOSE(F208,"one-off","medium","frequent"))</f>
        <v/>
      </c>
    </row>
    <row r="209">
      <c r="A209" s="8" t="n"/>
      <c r="B209" s="8" t="n"/>
      <c r="C209" s="8" t="n"/>
      <c r="D209" s="9" t="n"/>
      <c r="E209" s="10">
        <f>IF(B209="","",IF(B209&lt;=$C$3,3,IF(B209&lt;=$E$3,2,1)))</f>
        <v/>
      </c>
      <c r="F209" s="10">
        <f>IF(C209="","",IF(C209&gt;=$C$4,3,IF(C209&gt;=$E$4,2,1)))</f>
        <v/>
      </c>
      <c r="G209" s="10">
        <f>IF(D209="","",IF(D209&gt;=$C$5,3,IF(D209&gt;=$E$5,2,1)))</f>
        <v/>
      </c>
      <c r="H209" s="10">
        <f>IF(E209="","",E209&amp;"-"&amp;F209&amp;"-"&amp;G209)</f>
        <v/>
      </c>
      <c r="I209" s="8">
        <f>IF(E209="","",CHOOSE(E209,"Churned","Dormant","Recent")&amp;", "&amp;CHOOSE(F209,"one-off","medium","frequent"))</f>
        <v/>
      </c>
    </row>
    <row r="210">
      <c r="A210" s="8" t="n"/>
      <c r="B210" s="8" t="n"/>
      <c r="C210" s="8" t="n"/>
      <c r="D210" s="9" t="n"/>
      <c r="E210" s="10">
        <f>IF(B210="","",IF(B210&lt;=$C$3,3,IF(B210&lt;=$E$3,2,1)))</f>
        <v/>
      </c>
      <c r="F210" s="10">
        <f>IF(C210="","",IF(C210&gt;=$C$4,3,IF(C210&gt;=$E$4,2,1)))</f>
        <v/>
      </c>
      <c r="G210" s="10">
        <f>IF(D210="","",IF(D210&gt;=$C$5,3,IF(D210&gt;=$E$5,2,1)))</f>
        <v/>
      </c>
      <c r="H210" s="10">
        <f>IF(E210="","",E210&amp;"-"&amp;F210&amp;"-"&amp;G210)</f>
        <v/>
      </c>
      <c r="I210" s="8">
        <f>IF(E210="","",CHOOSE(E210,"Churned","Dormant","Recent")&amp;", "&amp;CHOOSE(F210,"one-off","medium","frequent"))</f>
        <v/>
      </c>
    </row>
    <row r="211">
      <c r="A211" s="8" t="n"/>
      <c r="B211" s="8" t="n"/>
      <c r="C211" s="8" t="n"/>
      <c r="D211" s="9" t="n"/>
      <c r="E211" s="10">
        <f>IF(B211="","",IF(B211&lt;=$C$3,3,IF(B211&lt;=$E$3,2,1)))</f>
        <v/>
      </c>
      <c r="F211" s="10">
        <f>IF(C211="","",IF(C211&gt;=$C$4,3,IF(C211&gt;=$E$4,2,1)))</f>
        <v/>
      </c>
      <c r="G211" s="10">
        <f>IF(D211="","",IF(D211&gt;=$C$5,3,IF(D211&gt;=$E$5,2,1)))</f>
        <v/>
      </c>
      <c r="H211" s="10">
        <f>IF(E211="","",E211&amp;"-"&amp;F211&amp;"-"&amp;G211)</f>
        <v/>
      </c>
      <c r="I211" s="8">
        <f>IF(E211="","",CHOOSE(E211,"Churned","Dormant","Recent")&amp;", "&amp;CHOOSE(F211,"one-off","medium","frequent"))</f>
        <v/>
      </c>
    </row>
    <row r="212">
      <c r="A212" s="8" t="n"/>
      <c r="B212" s="8" t="n"/>
      <c r="C212" s="8" t="n"/>
      <c r="D212" s="9" t="n"/>
      <c r="E212" s="10">
        <f>IF(B212="","",IF(B212&lt;=$C$3,3,IF(B212&lt;=$E$3,2,1)))</f>
        <v/>
      </c>
      <c r="F212" s="10">
        <f>IF(C212="","",IF(C212&gt;=$C$4,3,IF(C212&gt;=$E$4,2,1)))</f>
        <v/>
      </c>
      <c r="G212" s="10">
        <f>IF(D212="","",IF(D212&gt;=$C$5,3,IF(D212&gt;=$E$5,2,1)))</f>
        <v/>
      </c>
      <c r="H212" s="10">
        <f>IF(E212="","",E212&amp;"-"&amp;F212&amp;"-"&amp;G212)</f>
        <v/>
      </c>
      <c r="I212" s="8">
        <f>IF(E212="","",CHOOSE(E212,"Churned","Dormant","Recent")&amp;", "&amp;CHOOSE(F212,"one-off","medium","frequent"))</f>
        <v/>
      </c>
    </row>
    <row r="213">
      <c r="A213" s="8" t="n"/>
      <c r="B213" s="8" t="n"/>
      <c r="C213" s="8" t="n"/>
      <c r="D213" s="9" t="n"/>
      <c r="E213" s="10">
        <f>IF(B213="","",IF(B213&lt;=$C$3,3,IF(B213&lt;=$E$3,2,1)))</f>
        <v/>
      </c>
      <c r="F213" s="10">
        <f>IF(C213="","",IF(C213&gt;=$C$4,3,IF(C213&gt;=$E$4,2,1)))</f>
        <v/>
      </c>
      <c r="G213" s="10">
        <f>IF(D213="","",IF(D213&gt;=$C$5,3,IF(D213&gt;=$E$5,2,1)))</f>
        <v/>
      </c>
      <c r="H213" s="10">
        <f>IF(E213="","",E213&amp;"-"&amp;F213&amp;"-"&amp;G213)</f>
        <v/>
      </c>
      <c r="I213" s="8">
        <f>IF(E213="","",CHOOSE(E213,"Churned","Dormant","Recent")&amp;", "&amp;CHOOSE(F213,"one-off","medium","frequent"))</f>
        <v/>
      </c>
    </row>
    <row r="214">
      <c r="A214" s="8" t="n"/>
      <c r="B214" s="8" t="n"/>
      <c r="C214" s="8" t="n"/>
      <c r="D214" s="9" t="n"/>
      <c r="E214" s="10">
        <f>IF(B214="","",IF(B214&lt;=$C$3,3,IF(B214&lt;=$E$3,2,1)))</f>
        <v/>
      </c>
      <c r="F214" s="10">
        <f>IF(C214="","",IF(C214&gt;=$C$4,3,IF(C214&gt;=$E$4,2,1)))</f>
        <v/>
      </c>
      <c r="G214" s="10">
        <f>IF(D214="","",IF(D214&gt;=$C$5,3,IF(D214&gt;=$E$5,2,1)))</f>
        <v/>
      </c>
      <c r="H214" s="10">
        <f>IF(E214="","",E214&amp;"-"&amp;F214&amp;"-"&amp;G214)</f>
        <v/>
      </c>
      <c r="I214" s="8">
        <f>IF(E214="","",CHOOSE(E214,"Churned","Dormant","Recent")&amp;", "&amp;CHOOSE(F214,"one-off","medium","frequent"))</f>
        <v/>
      </c>
    </row>
    <row r="215">
      <c r="A215" s="8" t="n"/>
      <c r="B215" s="8" t="n"/>
      <c r="C215" s="8" t="n"/>
      <c r="D215" s="9" t="n"/>
      <c r="E215" s="10">
        <f>IF(B215="","",IF(B215&lt;=$C$3,3,IF(B215&lt;=$E$3,2,1)))</f>
        <v/>
      </c>
      <c r="F215" s="10">
        <f>IF(C215="","",IF(C215&gt;=$C$4,3,IF(C215&gt;=$E$4,2,1)))</f>
        <v/>
      </c>
      <c r="G215" s="10">
        <f>IF(D215="","",IF(D215&gt;=$C$5,3,IF(D215&gt;=$E$5,2,1)))</f>
        <v/>
      </c>
      <c r="H215" s="10">
        <f>IF(E215="","",E215&amp;"-"&amp;F215&amp;"-"&amp;G215)</f>
        <v/>
      </c>
      <c r="I215" s="8">
        <f>IF(E215="","",CHOOSE(E215,"Churned","Dormant","Recent")&amp;", "&amp;CHOOSE(F215,"one-off","medium","frequent"))</f>
        <v/>
      </c>
    </row>
    <row r="216">
      <c r="A216" s="8" t="n"/>
      <c r="B216" s="8" t="n"/>
      <c r="C216" s="8" t="n"/>
      <c r="D216" s="9" t="n"/>
      <c r="E216" s="10">
        <f>IF(B216="","",IF(B216&lt;=$C$3,3,IF(B216&lt;=$E$3,2,1)))</f>
        <v/>
      </c>
      <c r="F216" s="10">
        <f>IF(C216="","",IF(C216&gt;=$C$4,3,IF(C216&gt;=$E$4,2,1)))</f>
        <v/>
      </c>
      <c r="G216" s="10">
        <f>IF(D216="","",IF(D216&gt;=$C$5,3,IF(D216&gt;=$E$5,2,1)))</f>
        <v/>
      </c>
      <c r="H216" s="10">
        <f>IF(E216="","",E216&amp;"-"&amp;F216&amp;"-"&amp;G216)</f>
        <v/>
      </c>
      <c r="I216" s="8">
        <f>IF(E216="","",CHOOSE(E216,"Churned","Dormant","Recent")&amp;", "&amp;CHOOSE(F216,"one-off","medium","frequent"))</f>
        <v/>
      </c>
    </row>
    <row r="217">
      <c r="A217" s="8" t="n"/>
      <c r="B217" s="8" t="n"/>
      <c r="C217" s="8" t="n"/>
      <c r="D217" s="9" t="n"/>
      <c r="E217" s="10">
        <f>IF(B217="","",IF(B217&lt;=$C$3,3,IF(B217&lt;=$E$3,2,1)))</f>
        <v/>
      </c>
      <c r="F217" s="10">
        <f>IF(C217="","",IF(C217&gt;=$C$4,3,IF(C217&gt;=$E$4,2,1)))</f>
        <v/>
      </c>
      <c r="G217" s="10">
        <f>IF(D217="","",IF(D217&gt;=$C$5,3,IF(D217&gt;=$E$5,2,1)))</f>
        <v/>
      </c>
      <c r="H217" s="10">
        <f>IF(E217="","",E217&amp;"-"&amp;F217&amp;"-"&amp;G217)</f>
        <v/>
      </c>
      <c r="I217" s="8">
        <f>IF(E217="","",CHOOSE(E217,"Churned","Dormant","Recent")&amp;", "&amp;CHOOSE(F217,"one-off","medium","frequent"))</f>
        <v/>
      </c>
    </row>
    <row r="218">
      <c r="A218" s="8" t="n"/>
      <c r="B218" s="8" t="n"/>
      <c r="C218" s="8" t="n"/>
      <c r="D218" s="9" t="n"/>
      <c r="E218" s="10">
        <f>IF(B218="","",IF(B218&lt;=$C$3,3,IF(B218&lt;=$E$3,2,1)))</f>
        <v/>
      </c>
      <c r="F218" s="10">
        <f>IF(C218="","",IF(C218&gt;=$C$4,3,IF(C218&gt;=$E$4,2,1)))</f>
        <v/>
      </c>
      <c r="G218" s="10">
        <f>IF(D218="","",IF(D218&gt;=$C$5,3,IF(D218&gt;=$E$5,2,1)))</f>
        <v/>
      </c>
      <c r="H218" s="10">
        <f>IF(E218="","",E218&amp;"-"&amp;F218&amp;"-"&amp;G218)</f>
        <v/>
      </c>
      <c r="I218" s="8">
        <f>IF(E218="","",CHOOSE(E218,"Churned","Dormant","Recent")&amp;", "&amp;CHOOSE(F218,"one-off","medium","frequent"))</f>
        <v/>
      </c>
    </row>
    <row r="219">
      <c r="A219" s="8" t="n"/>
      <c r="B219" s="8" t="n"/>
      <c r="C219" s="8" t="n"/>
      <c r="D219" s="9" t="n"/>
      <c r="E219" s="10">
        <f>IF(B219="","",IF(B219&lt;=$C$3,3,IF(B219&lt;=$E$3,2,1)))</f>
        <v/>
      </c>
      <c r="F219" s="10">
        <f>IF(C219="","",IF(C219&gt;=$C$4,3,IF(C219&gt;=$E$4,2,1)))</f>
        <v/>
      </c>
      <c r="G219" s="10">
        <f>IF(D219="","",IF(D219&gt;=$C$5,3,IF(D219&gt;=$E$5,2,1)))</f>
        <v/>
      </c>
      <c r="H219" s="10">
        <f>IF(E219="","",E219&amp;"-"&amp;F219&amp;"-"&amp;G219)</f>
        <v/>
      </c>
      <c r="I219" s="8">
        <f>IF(E219="","",CHOOSE(E219,"Churned","Dormant","Recent")&amp;", "&amp;CHOOSE(F219,"one-off","medium","frequent"))</f>
        <v/>
      </c>
    </row>
    <row r="220">
      <c r="A220" s="8" t="n"/>
      <c r="B220" s="8" t="n"/>
      <c r="C220" s="8" t="n"/>
      <c r="D220" s="9" t="n"/>
      <c r="E220" s="10">
        <f>IF(B220="","",IF(B220&lt;=$C$3,3,IF(B220&lt;=$E$3,2,1)))</f>
        <v/>
      </c>
      <c r="F220" s="10">
        <f>IF(C220="","",IF(C220&gt;=$C$4,3,IF(C220&gt;=$E$4,2,1)))</f>
        <v/>
      </c>
      <c r="G220" s="10">
        <f>IF(D220="","",IF(D220&gt;=$C$5,3,IF(D220&gt;=$E$5,2,1)))</f>
        <v/>
      </c>
      <c r="H220" s="10">
        <f>IF(E220="","",E220&amp;"-"&amp;F220&amp;"-"&amp;G220)</f>
        <v/>
      </c>
      <c r="I220" s="8">
        <f>IF(E220="","",CHOOSE(E220,"Churned","Dormant","Recent")&amp;", "&amp;CHOOSE(F220,"one-off","medium","frequent"))</f>
        <v/>
      </c>
    </row>
    <row r="221">
      <c r="A221" s="8" t="n"/>
      <c r="B221" s="8" t="n"/>
      <c r="C221" s="8" t="n"/>
      <c r="D221" s="9" t="n"/>
      <c r="E221" s="10">
        <f>IF(B221="","",IF(B221&lt;=$C$3,3,IF(B221&lt;=$E$3,2,1)))</f>
        <v/>
      </c>
      <c r="F221" s="10">
        <f>IF(C221="","",IF(C221&gt;=$C$4,3,IF(C221&gt;=$E$4,2,1)))</f>
        <v/>
      </c>
      <c r="G221" s="10">
        <f>IF(D221="","",IF(D221&gt;=$C$5,3,IF(D221&gt;=$E$5,2,1)))</f>
        <v/>
      </c>
      <c r="H221" s="10">
        <f>IF(E221="","",E221&amp;"-"&amp;F221&amp;"-"&amp;G221)</f>
        <v/>
      </c>
      <c r="I221" s="8">
        <f>IF(E221="","",CHOOSE(E221,"Churned","Dormant","Recent")&amp;", "&amp;CHOOSE(F221,"one-off","medium","frequent"))</f>
        <v/>
      </c>
    </row>
    <row r="222">
      <c r="A222" s="8" t="n"/>
      <c r="B222" s="8" t="n"/>
      <c r="C222" s="8" t="n"/>
      <c r="D222" s="9" t="n"/>
      <c r="E222" s="10">
        <f>IF(B222="","",IF(B222&lt;=$C$3,3,IF(B222&lt;=$E$3,2,1)))</f>
        <v/>
      </c>
      <c r="F222" s="10">
        <f>IF(C222="","",IF(C222&gt;=$C$4,3,IF(C222&gt;=$E$4,2,1)))</f>
        <v/>
      </c>
      <c r="G222" s="10">
        <f>IF(D222="","",IF(D222&gt;=$C$5,3,IF(D222&gt;=$E$5,2,1)))</f>
        <v/>
      </c>
      <c r="H222" s="10">
        <f>IF(E222="","",E222&amp;"-"&amp;F222&amp;"-"&amp;G222)</f>
        <v/>
      </c>
      <c r="I222" s="8">
        <f>IF(E222="","",CHOOSE(E222,"Churned","Dormant","Recent")&amp;", "&amp;CHOOSE(F222,"one-off","medium","frequent"))</f>
        <v/>
      </c>
    </row>
    <row r="223">
      <c r="A223" s="8" t="n"/>
      <c r="B223" s="8" t="n"/>
      <c r="C223" s="8" t="n"/>
      <c r="D223" s="9" t="n"/>
      <c r="E223" s="10">
        <f>IF(B223="","",IF(B223&lt;=$C$3,3,IF(B223&lt;=$E$3,2,1)))</f>
        <v/>
      </c>
      <c r="F223" s="10">
        <f>IF(C223="","",IF(C223&gt;=$C$4,3,IF(C223&gt;=$E$4,2,1)))</f>
        <v/>
      </c>
      <c r="G223" s="10">
        <f>IF(D223="","",IF(D223&gt;=$C$5,3,IF(D223&gt;=$E$5,2,1)))</f>
        <v/>
      </c>
      <c r="H223" s="10">
        <f>IF(E223="","",E223&amp;"-"&amp;F223&amp;"-"&amp;G223)</f>
        <v/>
      </c>
      <c r="I223" s="8">
        <f>IF(E223="","",CHOOSE(E223,"Churned","Dormant","Recent")&amp;", "&amp;CHOOSE(F223,"one-off","medium","frequent"))</f>
        <v/>
      </c>
    </row>
    <row r="224">
      <c r="A224" s="8" t="n"/>
      <c r="B224" s="8" t="n"/>
      <c r="C224" s="8" t="n"/>
      <c r="D224" s="9" t="n"/>
      <c r="E224" s="10">
        <f>IF(B224="","",IF(B224&lt;=$C$3,3,IF(B224&lt;=$E$3,2,1)))</f>
        <v/>
      </c>
      <c r="F224" s="10">
        <f>IF(C224="","",IF(C224&gt;=$C$4,3,IF(C224&gt;=$E$4,2,1)))</f>
        <v/>
      </c>
      <c r="G224" s="10">
        <f>IF(D224="","",IF(D224&gt;=$C$5,3,IF(D224&gt;=$E$5,2,1)))</f>
        <v/>
      </c>
      <c r="H224" s="10">
        <f>IF(E224="","",E224&amp;"-"&amp;F224&amp;"-"&amp;G224)</f>
        <v/>
      </c>
      <c r="I224" s="8">
        <f>IF(E224="","",CHOOSE(E224,"Churned","Dormant","Recent")&amp;", "&amp;CHOOSE(F224,"one-off","medium","frequent"))</f>
        <v/>
      </c>
    </row>
    <row r="225">
      <c r="A225" s="8" t="n"/>
      <c r="B225" s="8" t="n"/>
      <c r="C225" s="8" t="n"/>
      <c r="D225" s="9" t="n"/>
      <c r="E225" s="10">
        <f>IF(B225="","",IF(B225&lt;=$C$3,3,IF(B225&lt;=$E$3,2,1)))</f>
        <v/>
      </c>
      <c r="F225" s="10">
        <f>IF(C225="","",IF(C225&gt;=$C$4,3,IF(C225&gt;=$E$4,2,1)))</f>
        <v/>
      </c>
      <c r="G225" s="10">
        <f>IF(D225="","",IF(D225&gt;=$C$5,3,IF(D225&gt;=$E$5,2,1)))</f>
        <v/>
      </c>
      <c r="H225" s="10">
        <f>IF(E225="","",E225&amp;"-"&amp;F225&amp;"-"&amp;G225)</f>
        <v/>
      </c>
      <c r="I225" s="8">
        <f>IF(E225="","",CHOOSE(E225,"Churned","Dormant","Recent")&amp;", "&amp;CHOOSE(F225,"one-off","medium","frequent"))</f>
        <v/>
      </c>
    </row>
    <row r="226">
      <c r="A226" s="8" t="n"/>
      <c r="B226" s="8" t="n"/>
      <c r="C226" s="8" t="n"/>
      <c r="D226" s="9" t="n"/>
      <c r="E226" s="10">
        <f>IF(B226="","",IF(B226&lt;=$C$3,3,IF(B226&lt;=$E$3,2,1)))</f>
        <v/>
      </c>
      <c r="F226" s="10">
        <f>IF(C226="","",IF(C226&gt;=$C$4,3,IF(C226&gt;=$E$4,2,1)))</f>
        <v/>
      </c>
      <c r="G226" s="10">
        <f>IF(D226="","",IF(D226&gt;=$C$5,3,IF(D226&gt;=$E$5,2,1)))</f>
        <v/>
      </c>
      <c r="H226" s="10">
        <f>IF(E226="","",E226&amp;"-"&amp;F226&amp;"-"&amp;G226)</f>
        <v/>
      </c>
      <c r="I226" s="8">
        <f>IF(E226="","",CHOOSE(E226,"Churned","Dormant","Recent")&amp;", "&amp;CHOOSE(F226,"one-off","medium","frequent"))</f>
        <v/>
      </c>
    </row>
    <row r="227">
      <c r="A227" s="8" t="n"/>
      <c r="B227" s="8" t="n"/>
      <c r="C227" s="8" t="n"/>
      <c r="D227" s="9" t="n"/>
      <c r="E227" s="10">
        <f>IF(B227="","",IF(B227&lt;=$C$3,3,IF(B227&lt;=$E$3,2,1)))</f>
        <v/>
      </c>
      <c r="F227" s="10">
        <f>IF(C227="","",IF(C227&gt;=$C$4,3,IF(C227&gt;=$E$4,2,1)))</f>
        <v/>
      </c>
      <c r="G227" s="10">
        <f>IF(D227="","",IF(D227&gt;=$C$5,3,IF(D227&gt;=$E$5,2,1)))</f>
        <v/>
      </c>
      <c r="H227" s="10">
        <f>IF(E227="","",E227&amp;"-"&amp;F227&amp;"-"&amp;G227)</f>
        <v/>
      </c>
      <c r="I227" s="8">
        <f>IF(E227="","",CHOOSE(E227,"Churned","Dormant","Recent")&amp;", "&amp;CHOOSE(F227,"one-off","medium","frequent"))</f>
        <v/>
      </c>
    </row>
    <row r="228">
      <c r="A228" s="8" t="n"/>
      <c r="B228" s="8" t="n"/>
      <c r="C228" s="8" t="n"/>
      <c r="D228" s="9" t="n"/>
      <c r="E228" s="10">
        <f>IF(B228="","",IF(B228&lt;=$C$3,3,IF(B228&lt;=$E$3,2,1)))</f>
        <v/>
      </c>
      <c r="F228" s="10">
        <f>IF(C228="","",IF(C228&gt;=$C$4,3,IF(C228&gt;=$E$4,2,1)))</f>
        <v/>
      </c>
      <c r="G228" s="10">
        <f>IF(D228="","",IF(D228&gt;=$C$5,3,IF(D228&gt;=$E$5,2,1)))</f>
        <v/>
      </c>
      <c r="H228" s="10">
        <f>IF(E228="","",E228&amp;"-"&amp;F228&amp;"-"&amp;G228)</f>
        <v/>
      </c>
      <c r="I228" s="8">
        <f>IF(E228="","",CHOOSE(E228,"Churned","Dormant","Recent")&amp;", "&amp;CHOOSE(F228,"one-off","medium","frequent"))</f>
        <v/>
      </c>
    </row>
    <row r="229">
      <c r="A229" s="8" t="n"/>
      <c r="B229" s="8" t="n"/>
      <c r="C229" s="8" t="n"/>
      <c r="D229" s="9" t="n"/>
      <c r="E229" s="10">
        <f>IF(B229="","",IF(B229&lt;=$C$3,3,IF(B229&lt;=$E$3,2,1)))</f>
        <v/>
      </c>
      <c r="F229" s="10">
        <f>IF(C229="","",IF(C229&gt;=$C$4,3,IF(C229&gt;=$E$4,2,1)))</f>
        <v/>
      </c>
      <c r="G229" s="10">
        <f>IF(D229="","",IF(D229&gt;=$C$5,3,IF(D229&gt;=$E$5,2,1)))</f>
        <v/>
      </c>
      <c r="H229" s="10">
        <f>IF(E229="","",E229&amp;"-"&amp;F229&amp;"-"&amp;G229)</f>
        <v/>
      </c>
      <c r="I229" s="8">
        <f>IF(E229="","",CHOOSE(E229,"Churned","Dormant","Recent")&amp;", "&amp;CHOOSE(F229,"one-off","medium","frequent"))</f>
        <v/>
      </c>
    </row>
    <row r="230">
      <c r="A230" s="8" t="n"/>
      <c r="B230" s="8" t="n"/>
      <c r="C230" s="8" t="n"/>
      <c r="D230" s="9" t="n"/>
      <c r="E230" s="10">
        <f>IF(B230="","",IF(B230&lt;=$C$3,3,IF(B230&lt;=$E$3,2,1)))</f>
        <v/>
      </c>
      <c r="F230" s="10">
        <f>IF(C230="","",IF(C230&gt;=$C$4,3,IF(C230&gt;=$E$4,2,1)))</f>
        <v/>
      </c>
      <c r="G230" s="10">
        <f>IF(D230="","",IF(D230&gt;=$C$5,3,IF(D230&gt;=$E$5,2,1)))</f>
        <v/>
      </c>
      <c r="H230" s="10">
        <f>IF(E230="","",E230&amp;"-"&amp;F230&amp;"-"&amp;G230)</f>
        <v/>
      </c>
      <c r="I230" s="8">
        <f>IF(E230="","",CHOOSE(E230,"Churned","Dormant","Recent")&amp;", "&amp;CHOOSE(F230,"one-off","medium","frequent"))</f>
        <v/>
      </c>
    </row>
    <row r="231">
      <c r="A231" s="8" t="n"/>
      <c r="B231" s="8" t="n"/>
      <c r="C231" s="8" t="n"/>
      <c r="D231" s="9" t="n"/>
      <c r="E231" s="10">
        <f>IF(B231="","",IF(B231&lt;=$C$3,3,IF(B231&lt;=$E$3,2,1)))</f>
        <v/>
      </c>
      <c r="F231" s="10">
        <f>IF(C231="","",IF(C231&gt;=$C$4,3,IF(C231&gt;=$E$4,2,1)))</f>
        <v/>
      </c>
      <c r="G231" s="10">
        <f>IF(D231="","",IF(D231&gt;=$C$5,3,IF(D231&gt;=$E$5,2,1)))</f>
        <v/>
      </c>
      <c r="H231" s="10">
        <f>IF(E231="","",E231&amp;"-"&amp;F231&amp;"-"&amp;G231)</f>
        <v/>
      </c>
      <c r="I231" s="8">
        <f>IF(E231="","",CHOOSE(E231,"Churned","Dormant","Recent")&amp;", "&amp;CHOOSE(F231,"one-off","medium","frequent"))</f>
        <v/>
      </c>
    </row>
    <row r="232">
      <c r="A232" s="8" t="n"/>
      <c r="B232" s="8" t="n"/>
      <c r="C232" s="8" t="n"/>
      <c r="D232" s="9" t="n"/>
      <c r="E232" s="10">
        <f>IF(B232="","",IF(B232&lt;=$C$3,3,IF(B232&lt;=$E$3,2,1)))</f>
        <v/>
      </c>
      <c r="F232" s="10">
        <f>IF(C232="","",IF(C232&gt;=$C$4,3,IF(C232&gt;=$E$4,2,1)))</f>
        <v/>
      </c>
      <c r="G232" s="10">
        <f>IF(D232="","",IF(D232&gt;=$C$5,3,IF(D232&gt;=$E$5,2,1)))</f>
        <v/>
      </c>
      <c r="H232" s="10">
        <f>IF(E232="","",E232&amp;"-"&amp;F232&amp;"-"&amp;G232)</f>
        <v/>
      </c>
      <c r="I232" s="8">
        <f>IF(E232="","",CHOOSE(E232,"Churned","Dormant","Recent")&amp;", "&amp;CHOOSE(F232,"one-off","medium","frequent"))</f>
        <v/>
      </c>
    </row>
    <row r="233">
      <c r="A233" s="8" t="n"/>
      <c r="B233" s="8" t="n"/>
      <c r="C233" s="8" t="n"/>
      <c r="D233" s="9" t="n"/>
      <c r="E233" s="10">
        <f>IF(B233="","",IF(B233&lt;=$C$3,3,IF(B233&lt;=$E$3,2,1)))</f>
        <v/>
      </c>
      <c r="F233" s="10">
        <f>IF(C233="","",IF(C233&gt;=$C$4,3,IF(C233&gt;=$E$4,2,1)))</f>
        <v/>
      </c>
      <c r="G233" s="10">
        <f>IF(D233="","",IF(D233&gt;=$C$5,3,IF(D233&gt;=$E$5,2,1)))</f>
        <v/>
      </c>
      <c r="H233" s="10">
        <f>IF(E233="","",E233&amp;"-"&amp;F233&amp;"-"&amp;G233)</f>
        <v/>
      </c>
      <c r="I233" s="8">
        <f>IF(E233="","",CHOOSE(E233,"Churned","Dormant","Recent")&amp;", "&amp;CHOOSE(F233,"one-off","medium","frequent"))</f>
        <v/>
      </c>
    </row>
    <row r="234">
      <c r="A234" s="8" t="n"/>
      <c r="B234" s="8" t="n"/>
      <c r="C234" s="8" t="n"/>
      <c r="D234" s="9" t="n"/>
      <c r="E234" s="10">
        <f>IF(B234="","",IF(B234&lt;=$C$3,3,IF(B234&lt;=$E$3,2,1)))</f>
        <v/>
      </c>
      <c r="F234" s="10">
        <f>IF(C234="","",IF(C234&gt;=$C$4,3,IF(C234&gt;=$E$4,2,1)))</f>
        <v/>
      </c>
      <c r="G234" s="10">
        <f>IF(D234="","",IF(D234&gt;=$C$5,3,IF(D234&gt;=$E$5,2,1)))</f>
        <v/>
      </c>
      <c r="H234" s="10">
        <f>IF(E234="","",E234&amp;"-"&amp;F234&amp;"-"&amp;G234)</f>
        <v/>
      </c>
      <c r="I234" s="8">
        <f>IF(E234="","",CHOOSE(E234,"Churned","Dormant","Recent")&amp;", "&amp;CHOOSE(F234,"one-off","medium","frequent"))</f>
        <v/>
      </c>
    </row>
    <row r="235">
      <c r="A235" s="8" t="n"/>
      <c r="B235" s="8" t="n"/>
      <c r="C235" s="8" t="n"/>
      <c r="D235" s="9" t="n"/>
      <c r="E235" s="10">
        <f>IF(B235="","",IF(B235&lt;=$C$3,3,IF(B235&lt;=$E$3,2,1)))</f>
        <v/>
      </c>
      <c r="F235" s="10">
        <f>IF(C235="","",IF(C235&gt;=$C$4,3,IF(C235&gt;=$E$4,2,1)))</f>
        <v/>
      </c>
      <c r="G235" s="10">
        <f>IF(D235="","",IF(D235&gt;=$C$5,3,IF(D235&gt;=$E$5,2,1)))</f>
        <v/>
      </c>
      <c r="H235" s="10">
        <f>IF(E235="","",E235&amp;"-"&amp;F235&amp;"-"&amp;G235)</f>
        <v/>
      </c>
      <c r="I235" s="8">
        <f>IF(E235="","",CHOOSE(E235,"Churned","Dormant","Recent")&amp;", "&amp;CHOOSE(F235,"one-off","medium","frequent"))</f>
        <v/>
      </c>
    </row>
    <row r="236">
      <c r="A236" s="8" t="n"/>
      <c r="B236" s="8" t="n"/>
      <c r="C236" s="8" t="n"/>
      <c r="D236" s="9" t="n"/>
      <c r="E236" s="10">
        <f>IF(B236="","",IF(B236&lt;=$C$3,3,IF(B236&lt;=$E$3,2,1)))</f>
        <v/>
      </c>
      <c r="F236" s="10">
        <f>IF(C236="","",IF(C236&gt;=$C$4,3,IF(C236&gt;=$E$4,2,1)))</f>
        <v/>
      </c>
      <c r="G236" s="10">
        <f>IF(D236="","",IF(D236&gt;=$C$5,3,IF(D236&gt;=$E$5,2,1)))</f>
        <v/>
      </c>
      <c r="H236" s="10">
        <f>IF(E236="","",E236&amp;"-"&amp;F236&amp;"-"&amp;G236)</f>
        <v/>
      </c>
      <c r="I236" s="8">
        <f>IF(E236="","",CHOOSE(E236,"Churned","Dormant","Recent")&amp;", "&amp;CHOOSE(F236,"one-off","medium","frequent"))</f>
        <v/>
      </c>
    </row>
    <row r="237">
      <c r="A237" s="8" t="n"/>
      <c r="B237" s="8" t="n"/>
      <c r="C237" s="8" t="n"/>
      <c r="D237" s="9" t="n"/>
      <c r="E237" s="10">
        <f>IF(B237="","",IF(B237&lt;=$C$3,3,IF(B237&lt;=$E$3,2,1)))</f>
        <v/>
      </c>
      <c r="F237" s="10">
        <f>IF(C237="","",IF(C237&gt;=$C$4,3,IF(C237&gt;=$E$4,2,1)))</f>
        <v/>
      </c>
      <c r="G237" s="10">
        <f>IF(D237="","",IF(D237&gt;=$C$5,3,IF(D237&gt;=$E$5,2,1)))</f>
        <v/>
      </c>
      <c r="H237" s="10">
        <f>IF(E237="","",E237&amp;"-"&amp;F237&amp;"-"&amp;G237)</f>
        <v/>
      </c>
      <c r="I237" s="8">
        <f>IF(E237="","",CHOOSE(E237,"Churned","Dormant","Recent")&amp;", "&amp;CHOOSE(F237,"one-off","medium","frequent"))</f>
        <v/>
      </c>
    </row>
    <row r="238">
      <c r="A238" s="8" t="n"/>
      <c r="B238" s="8" t="n"/>
      <c r="C238" s="8" t="n"/>
      <c r="D238" s="9" t="n"/>
      <c r="E238" s="10">
        <f>IF(B238="","",IF(B238&lt;=$C$3,3,IF(B238&lt;=$E$3,2,1)))</f>
        <v/>
      </c>
      <c r="F238" s="10">
        <f>IF(C238="","",IF(C238&gt;=$C$4,3,IF(C238&gt;=$E$4,2,1)))</f>
        <v/>
      </c>
      <c r="G238" s="10">
        <f>IF(D238="","",IF(D238&gt;=$C$5,3,IF(D238&gt;=$E$5,2,1)))</f>
        <v/>
      </c>
      <c r="H238" s="10">
        <f>IF(E238="","",E238&amp;"-"&amp;F238&amp;"-"&amp;G238)</f>
        <v/>
      </c>
      <c r="I238" s="8">
        <f>IF(E238="","",CHOOSE(E238,"Churned","Dormant","Recent")&amp;", "&amp;CHOOSE(F238,"one-off","medium","frequent"))</f>
        <v/>
      </c>
    </row>
    <row r="239">
      <c r="A239" s="8" t="n"/>
      <c r="B239" s="8" t="n"/>
      <c r="C239" s="8" t="n"/>
      <c r="D239" s="9" t="n"/>
      <c r="E239" s="10">
        <f>IF(B239="","",IF(B239&lt;=$C$3,3,IF(B239&lt;=$E$3,2,1)))</f>
        <v/>
      </c>
      <c r="F239" s="10">
        <f>IF(C239="","",IF(C239&gt;=$C$4,3,IF(C239&gt;=$E$4,2,1)))</f>
        <v/>
      </c>
      <c r="G239" s="10">
        <f>IF(D239="","",IF(D239&gt;=$C$5,3,IF(D239&gt;=$E$5,2,1)))</f>
        <v/>
      </c>
      <c r="H239" s="10">
        <f>IF(E239="","",E239&amp;"-"&amp;F239&amp;"-"&amp;G239)</f>
        <v/>
      </c>
      <c r="I239" s="8">
        <f>IF(E239="","",CHOOSE(E239,"Churned","Dormant","Recent")&amp;", "&amp;CHOOSE(F239,"one-off","medium","frequent"))</f>
        <v/>
      </c>
    </row>
    <row r="240">
      <c r="A240" s="8" t="n"/>
      <c r="B240" s="8" t="n"/>
      <c r="C240" s="8" t="n"/>
      <c r="D240" s="9" t="n"/>
      <c r="E240" s="10">
        <f>IF(B240="","",IF(B240&lt;=$C$3,3,IF(B240&lt;=$E$3,2,1)))</f>
        <v/>
      </c>
      <c r="F240" s="10">
        <f>IF(C240="","",IF(C240&gt;=$C$4,3,IF(C240&gt;=$E$4,2,1)))</f>
        <v/>
      </c>
      <c r="G240" s="10">
        <f>IF(D240="","",IF(D240&gt;=$C$5,3,IF(D240&gt;=$E$5,2,1)))</f>
        <v/>
      </c>
      <c r="H240" s="10">
        <f>IF(E240="","",E240&amp;"-"&amp;F240&amp;"-"&amp;G240)</f>
        <v/>
      </c>
      <c r="I240" s="8">
        <f>IF(E240="","",CHOOSE(E240,"Churned","Dormant","Recent")&amp;", "&amp;CHOOSE(F240,"one-off","medium","frequent"))</f>
        <v/>
      </c>
    </row>
    <row r="241">
      <c r="A241" s="8" t="n"/>
      <c r="B241" s="8" t="n"/>
      <c r="C241" s="8" t="n"/>
      <c r="D241" s="9" t="n"/>
      <c r="E241" s="10">
        <f>IF(B241="","",IF(B241&lt;=$C$3,3,IF(B241&lt;=$E$3,2,1)))</f>
        <v/>
      </c>
      <c r="F241" s="10">
        <f>IF(C241="","",IF(C241&gt;=$C$4,3,IF(C241&gt;=$E$4,2,1)))</f>
        <v/>
      </c>
      <c r="G241" s="10">
        <f>IF(D241="","",IF(D241&gt;=$C$5,3,IF(D241&gt;=$E$5,2,1)))</f>
        <v/>
      </c>
      <c r="H241" s="10">
        <f>IF(E241="","",E241&amp;"-"&amp;F241&amp;"-"&amp;G241)</f>
        <v/>
      </c>
      <c r="I241" s="8">
        <f>IF(E241="","",CHOOSE(E241,"Churned","Dormant","Recent")&amp;", "&amp;CHOOSE(F241,"one-off","medium","frequent"))</f>
        <v/>
      </c>
    </row>
    <row r="242">
      <c r="A242" s="8" t="n"/>
      <c r="B242" s="8" t="n"/>
      <c r="C242" s="8" t="n"/>
      <c r="D242" s="9" t="n"/>
      <c r="E242" s="10">
        <f>IF(B242="","",IF(B242&lt;=$C$3,3,IF(B242&lt;=$E$3,2,1)))</f>
        <v/>
      </c>
      <c r="F242" s="10">
        <f>IF(C242="","",IF(C242&gt;=$C$4,3,IF(C242&gt;=$E$4,2,1)))</f>
        <v/>
      </c>
      <c r="G242" s="10">
        <f>IF(D242="","",IF(D242&gt;=$C$5,3,IF(D242&gt;=$E$5,2,1)))</f>
        <v/>
      </c>
      <c r="H242" s="10">
        <f>IF(E242="","",E242&amp;"-"&amp;F242&amp;"-"&amp;G242)</f>
        <v/>
      </c>
      <c r="I242" s="8">
        <f>IF(E242="","",CHOOSE(E242,"Churned","Dormant","Recent")&amp;", "&amp;CHOOSE(F242,"one-off","medium","frequent"))</f>
        <v/>
      </c>
    </row>
    <row r="243">
      <c r="A243" s="8" t="n"/>
      <c r="B243" s="8" t="n"/>
      <c r="C243" s="8" t="n"/>
      <c r="D243" s="9" t="n"/>
      <c r="E243" s="10">
        <f>IF(B243="","",IF(B243&lt;=$C$3,3,IF(B243&lt;=$E$3,2,1)))</f>
        <v/>
      </c>
      <c r="F243" s="10">
        <f>IF(C243="","",IF(C243&gt;=$C$4,3,IF(C243&gt;=$E$4,2,1)))</f>
        <v/>
      </c>
      <c r="G243" s="10">
        <f>IF(D243="","",IF(D243&gt;=$C$5,3,IF(D243&gt;=$E$5,2,1)))</f>
        <v/>
      </c>
      <c r="H243" s="10">
        <f>IF(E243="","",E243&amp;"-"&amp;F243&amp;"-"&amp;G243)</f>
        <v/>
      </c>
      <c r="I243" s="8">
        <f>IF(E243="","",CHOOSE(E243,"Churned","Dormant","Recent")&amp;", "&amp;CHOOSE(F243,"one-off","medium","frequent"))</f>
        <v/>
      </c>
    </row>
    <row r="244">
      <c r="A244" s="8" t="n"/>
      <c r="B244" s="8" t="n"/>
      <c r="C244" s="8" t="n"/>
      <c r="D244" s="9" t="n"/>
      <c r="E244" s="10">
        <f>IF(B244="","",IF(B244&lt;=$C$3,3,IF(B244&lt;=$E$3,2,1)))</f>
        <v/>
      </c>
      <c r="F244" s="10">
        <f>IF(C244="","",IF(C244&gt;=$C$4,3,IF(C244&gt;=$E$4,2,1)))</f>
        <v/>
      </c>
      <c r="G244" s="10">
        <f>IF(D244="","",IF(D244&gt;=$C$5,3,IF(D244&gt;=$E$5,2,1)))</f>
        <v/>
      </c>
      <c r="H244" s="10">
        <f>IF(E244="","",E244&amp;"-"&amp;F244&amp;"-"&amp;G244)</f>
        <v/>
      </c>
      <c r="I244" s="8">
        <f>IF(E244="","",CHOOSE(E244,"Churned","Dormant","Recent")&amp;", "&amp;CHOOSE(F244,"one-off","medium","frequent"))</f>
        <v/>
      </c>
    </row>
    <row r="245">
      <c r="A245" s="8" t="n"/>
      <c r="B245" s="8" t="n"/>
      <c r="C245" s="8" t="n"/>
      <c r="D245" s="9" t="n"/>
      <c r="E245" s="10">
        <f>IF(B245="","",IF(B245&lt;=$C$3,3,IF(B245&lt;=$E$3,2,1)))</f>
        <v/>
      </c>
      <c r="F245" s="10">
        <f>IF(C245="","",IF(C245&gt;=$C$4,3,IF(C245&gt;=$E$4,2,1)))</f>
        <v/>
      </c>
      <c r="G245" s="10">
        <f>IF(D245="","",IF(D245&gt;=$C$5,3,IF(D245&gt;=$E$5,2,1)))</f>
        <v/>
      </c>
      <c r="H245" s="10">
        <f>IF(E245="","",E245&amp;"-"&amp;F245&amp;"-"&amp;G245)</f>
        <v/>
      </c>
      <c r="I245" s="8">
        <f>IF(E245="","",CHOOSE(E245,"Churned","Dormant","Recent")&amp;", "&amp;CHOOSE(F245,"one-off","medium","frequent"))</f>
        <v/>
      </c>
    </row>
    <row r="246">
      <c r="A246" s="8" t="n"/>
      <c r="B246" s="8" t="n"/>
      <c r="C246" s="8" t="n"/>
      <c r="D246" s="9" t="n"/>
      <c r="E246" s="10">
        <f>IF(B246="","",IF(B246&lt;=$C$3,3,IF(B246&lt;=$E$3,2,1)))</f>
        <v/>
      </c>
      <c r="F246" s="10">
        <f>IF(C246="","",IF(C246&gt;=$C$4,3,IF(C246&gt;=$E$4,2,1)))</f>
        <v/>
      </c>
      <c r="G246" s="10">
        <f>IF(D246="","",IF(D246&gt;=$C$5,3,IF(D246&gt;=$E$5,2,1)))</f>
        <v/>
      </c>
      <c r="H246" s="10">
        <f>IF(E246="","",E246&amp;"-"&amp;F246&amp;"-"&amp;G246)</f>
        <v/>
      </c>
      <c r="I246" s="8">
        <f>IF(E246="","",CHOOSE(E246,"Churned","Dormant","Recent")&amp;", "&amp;CHOOSE(F246,"one-off","medium","frequent"))</f>
        <v/>
      </c>
    </row>
    <row r="247">
      <c r="A247" s="8" t="n"/>
      <c r="B247" s="8" t="n"/>
      <c r="C247" s="8" t="n"/>
      <c r="D247" s="9" t="n"/>
      <c r="E247" s="10">
        <f>IF(B247="","",IF(B247&lt;=$C$3,3,IF(B247&lt;=$E$3,2,1)))</f>
        <v/>
      </c>
      <c r="F247" s="10">
        <f>IF(C247="","",IF(C247&gt;=$C$4,3,IF(C247&gt;=$E$4,2,1)))</f>
        <v/>
      </c>
      <c r="G247" s="10">
        <f>IF(D247="","",IF(D247&gt;=$C$5,3,IF(D247&gt;=$E$5,2,1)))</f>
        <v/>
      </c>
      <c r="H247" s="10">
        <f>IF(E247="","",E247&amp;"-"&amp;F247&amp;"-"&amp;G247)</f>
        <v/>
      </c>
      <c r="I247" s="8">
        <f>IF(E247="","",CHOOSE(E247,"Churned","Dormant","Recent")&amp;", "&amp;CHOOSE(F247,"one-off","medium","frequent"))</f>
        <v/>
      </c>
    </row>
    <row r="248">
      <c r="A248" s="8" t="n"/>
      <c r="B248" s="8" t="n"/>
      <c r="C248" s="8" t="n"/>
      <c r="D248" s="9" t="n"/>
      <c r="E248" s="10">
        <f>IF(B248="","",IF(B248&lt;=$C$3,3,IF(B248&lt;=$E$3,2,1)))</f>
        <v/>
      </c>
      <c r="F248" s="10">
        <f>IF(C248="","",IF(C248&gt;=$C$4,3,IF(C248&gt;=$E$4,2,1)))</f>
        <v/>
      </c>
      <c r="G248" s="10">
        <f>IF(D248="","",IF(D248&gt;=$C$5,3,IF(D248&gt;=$E$5,2,1)))</f>
        <v/>
      </c>
      <c r="H248" s="10">
        <f>IF(E248="","",E248&amp;"-"&amp;F248&amp;"-"&amp;G248)</f>
        <v/>
      </c>
      <c r="I248" s="8">
        <f>IF(E248="","",CHOOSE(E248,"Churned","Dormant","Recent")&amp;", "&amp;CHOOSE(F248,"one-off","medium","frequent"))</f>
        <v/>
      </c>
    </row>
    <row r="249">
      <c r="A249" s="8" t="n"/>
      <c r="B249" s="8" t="n"/>
      <c r="C249" s="8" t="n"/>
      <c r="D249" s="9" t="n"/>
      <c r="E249" s="10">
        <f>IF(B249="","",IF(B249&lt;=$C$3,3,IF(B249&lt;=$E$3,2,1)))</f>
        <v/>
      </c>
      <c r="F249" s="10">
        <f>IF(C249="","",IF(C249&gt;=$C$4,3,IF(C249&gt;=$E$4,2,1)))</f>
        <v/>
      </c>
      <c r="G249" s="10">
        <f>IF(D249="","",IF(D249&gt;=$C$5,3,IF(D249&gt;=$E$5,2,1)))</f>
        <v/>
      </c>
      <c r="H249" s="10">
        <f>IF(E249="","",E249&amp;"-"&amp;F249&amp;"-"&amp;G249)</f>
        <v/>
      </c>
      <c r="I249" s="8">
        <f>IF(E249="","",CHOOSE(E249,"Churned","Dormant","Recent")&amp;", "&amp;CHOOSE(F249,"one-off","medium","frequent"))</f>
        <v/>
      </c>
    </row>
    <row r="250">
      <c r="A250" s="8" t="n"/>
      <c r="B250" s="8" t="n"/>
      <c r="C250" s="8" t="n"/>
      <c r="D250" s="9" t="n"/>
      <c r="E250" s="10">
        <f>IF(B250="","",IF(B250&lt;=$C$3,3,IF(B250&lt;=$E$3,2,1)))</f>
        <v/>
      </c>
      <c r="F250" s="10">
        <f>IF(C250="","",IF(C250&gt;=$C$4,3,IF(C250&gt;=$E$4,2,1)))</f>
        <v/>
      </c>
      <c r="G250" s="10">
        <f>IF(D250="","",IF(D250&gt;=$C$5,3,IF(D250&gt;=$E$5,2,1)))</f>
        <v/>
      </c>
      <c r="H250" s="10">
        <f>IF(E250="","",E250&amp;"-"&amp;F250&amp;"-"&amp;G250)</f>
        <v/>
      </c>
      <c r="I250" s="8">
        <f>IF(E250="","",CHOOSE(E250,"Churned","Dormant","Recent")&amp;", "&amp;CHOOSE(F250,"one-off","medium","frequent"))</f>
        <v/>
      </c>
    </row>
    <row r="251">
      <c r="A251" s="8" t="n"/>
      <c r="B251" s="8" t="n"/>
      <c r="C251" s="8" t="n"/>
      <c r="D251" s="9" t="n"/>
      <c r="E251" s="10">
        <f>IF(B251="","",IF(B251&lt;=$C$3,3,IF(B251&lt;=$E$3,2,1)))</f>
        <v/>
      </c>
      <c r="F251" s="10">
        <f>IF(C251="","",IF(C251&gt;=$C$4,3,IF(C251&gt;=$E$4,2,1)))</f>
        <v/>
      </c>
      <c r="G251" s="10">
        <f>IF(D251="","",IF(D251&gt;=$C$5,3,IF(D251&gt;=$E$5,2,1)))</f>
        <v/>
      </c>
      <c r="H251" s="10">
        <f>IF(E251="","",E251&amp;"-"&amp;F251&amp;"-"&amp;G251)</f>
        <v/>
      </c>
      <c r="I251" s="8">
        <f>IF(E251="","",CHOOSE(E251,"Churned","Dormant","Recent")&amp;", "&amp;CHOOSE(F251,"one-off","medium","frequent"))</f>
        <v/>
      </c>
    </row>
    <row r="252">
      <c r="A252" s="8" t="n"/>
      <c r="B252" s="8" t="n"/>
      <c r="C252" s="8" t="n"/>
      <c r="D252" s="9" t="n"/>
      <c r="E252" s="10">
        <f>IF(B252="","",IF(B252&lt;=$C$3,3,IF(B252&lt;=$E$3,2,1)))</f>
        <v/>
      </c>
      <c r="F252" s="10">
        <f>IF(C252="","",IF(C252&gt;=$C$4,3,IF(C252&gt;=$E$4,2,1)))</f>
        <v/>
      </c>
      <c r="G252" s="10">
        <f>IF(D252="","",IF(D252&gt;=$C$5,3,IF(D252&gt;=$E$5,2,1)))</f>
        <v/>
      </c>
      <c r="H252" s="10">
        <f>IF(E252="","",E252&amp;"-"&amp;F252&amp;"-"&amp;G252)</f>
        <v/>
      </c>
      <c r="I252" s="8">
        <f>IF(E252="","",CHOOSE(E252,"Churned","Dormant","Recent")&amp;", "&amp;CHOOSE(F252,"one-off","medium","frequent"))</f>
        <v/>
      </c>
    </row>
    <row r="253">
      <c r="A253" s="8" t="n"/>
      <c r="B253" s="8" t="n"/>
      <c r="C253" s="8" t="n"/>
      <c r="D253" s="9" t="n"/>
      <c r="E253" s="10">
        <f>IF(B253="","",IF(B253&lt;=$C$3,3,IF(B253&lt;=$E$3,2,1)))</f>
        <v/>
      </c>
      <c r="F253" s="10">
        <f>IF(C253="","",IF(C253&gt;=$C$4,3,IF(C253&gt;=$E$4,2,1)))</f>
        <v/>
      </c>
      <c r="G253" s="10">
        <f>IF(D253="","",IF(D253&gt;=$C$5,3,IF(D253&gt;=$E$5,2,1)))</f>
        <v/>
      </c>
      <c r="H253" s="10">
        <f>IF(E253="","",E253&amp;"-"&amp;F253&amp;"-"&amp;G253)</f>
        <v/>
      </c>
      <c r="I253" s="8">
        <f>IF(E253="","",CHOOSE(E253,"Churned","Dormant","Recent")&amp;", "&amp;CHOOSE(F253,"one-off","medium","frequent"))</f>
        <v/>
      </c>
    </row>
    <row r="254">
      <c r="A254" s="8" t="n"/>
      <c r="B254" s="8" t="n"/>
      <c r="C254" s="8" t="n"/>
      <c r="D254" s="9" t="n"/>
      <c r="E254" s="10">
        <f>IF(B254="","",IF(B254&lt;=$C$3,3,IF(B254&lt;=$E$3,2,1)))</f>
        <v/>
      </c>
      <c r="F254" s="10">
        <f>IF(C254="","",IF(C254&gt;=$C$4,3,IF(C254&gt;=$E$4,2,1)))</f>
        <v/>
      </c>
      <c r="G254" s="10">
        <f>IF(D254="","",IF(D254&gt;=$C$5,3,IF(D254&gt;=$E$5,2,1)))</f>
        <v/>
      </c>
      <c r="H254" s="10">
        <f>IF(E254="","",E254&amp;"-"&amp;F254&amp;"-"&amp;G254)</f>
        <v/>
      </c>
      <c r="I254" s="8">
        <f>IF(E254="","",CHOOSE(E254,"Churned","Dormant","Recent")&amp;", "&amp;CHOOSE(F254,"one-off","medium","frequent"))</f>
        <v/>
      </c>
    </row>
    <row r="255">
      <c r="A255" s="8" t="n"/>
      <c r="B255" s="8" t="n"/>
      <c r="C255" s="8" t="n"/>
      <c r="D255" s="9" t="n"/>
      <c r="E255" s="10">
        <f>IF(B255="","",IF(B255&lt;=$C$3,3,IF(B255&lt;=$E$3,2,1)))</f>
        <v/>
      </c>
      <c r="F255" s="10">
        <f>IF(C255="","",IF(C255&gt;=$C$4,3,IF(C255&gt;=$E$4,2,1)))</f>
        <v/>
      </c>
      <c r="G255" s="10">
        <f>IF(D255="","",IF(D255&gt;=$C$5,3,IF(D255&gt;=$E$5,2,1)))</f>
        <v/>
      </c>
      <c r="H255" s="10">
        <f>IF(E255="","",E255&amp;"-"&amp;F255&amp;"-"&amp;G255)</f>
        <v/>
      </c>
      <c r="I255" s="8">
        <f>IF(E255="","",CHOOSE(E255,"Churned","Dormant","Recent")&amp;", "&amp;CHOOSE(F255,"one-off","medium","frequent"))</f>
        <v/>
      </c>
    </row>
    <row r="256">
      <c r="A256" s="8" t="n"/>
      <c r="B256" s="8" t="n"/>
      <c r="C256" s="8" t="n"/>
      <c r="D256" s="9" t="n"/>
      <c r="E256" s="10">
        <f>IF(B256="","",IF(B256&lt;=$C$3,3,IF(B256&lt;=$E$3,2,1)))</f>
        <v/>
      </c>
      <c r="F256" s="10">
        <f>IF(C256="","",IF(C256&gt;=$C$4,3,IF(C256&gt;=$E$4,2,1)))</f>
        <v/>
      </c>
      <c r="G256" s="10">
        <f>IF(D256="","",IF(D256&gt;=$C$5,3,IF(D256&gt;=$E$5,2,1)))</f>
        <v/>
      </c>
      <c r="H256" s="10">
        <f>IF(E256="","",E256&amp;"-"&amp;F256&amp;"-"&amp;G256)</f>
        <v/>
      </c>
      <c r="I256" s="8">
        <f>IF(E256="","",CHOOSE(E256,"Churned","Dormant","Recent")&amp;", "&amp;CHOOSE(F256,"one-off","medium","frequent"))</f>
        <v/>
      </c>
    </row>
    <row r="257">
      <c r="A257" s="8" t="n"/>
      <c r="B257" s="8" t="n"/>
      <c r="C257" s="8" t="n"/>
      <c r="D257" s="9" t="n"/>
      <c r="E257" s="10">
        <f>IF(B257="","",IF(B257&lt;=$C$3,3,IF(B257&lt;=$E$3,2,1)))</f>
        <v/>
      </c>
      <c r="F257" s="10">
        <f>IF(C257="","",IF(C257&gt;=$C$4,3,IF(C257&gt;=$E$4,2,1)))</f>
        <v/>
      </c>
      <c r="G257" s="10">
        <f>IF(D257="","",IF(D257&gt;=$C$5,3,IF(D257&gt;=$E$5,2,1)))</f>
        <v/>
      </c>
      <c r="H257" s="10">
        <f>IF(E257="","",E257&amp;"-"&amp;F257&amp;"-"&amp;G257)</f>
        <v/>
      </c>
      <c r="I257" s="8">
        <f>IF(E257="","",CHOOSE(E257,"Churned","Dormant","Recent")&amp;", "&amp;CHOOSE(F257,"one-off","medium","frequent"))</f>
        <v/>
      </c>
    </row>
    <row r="258">
      <c r="A258" s="8" t="n"/>
      <c r="B258" s="8" t="n"/>
      <c r="C258" s="8" t="n"/>
      <c r="D258" s="9" t="n"/>
      <c r="E258" s="10">
        <f>IF(B258="","",IF(B258&lt;=$C$3,3,IF(B258&lt;=$E$3,2,1)))</f>
        <v/>
      </c>
      <c r="F258" s="10">
        <f>IF(C258="","",IF(C258&gt;=$C$4,3,IF(C258&gt;=$E$4,2,1)))</f>
        <v/>
      </c>
      <c r="G258" s="10">
        <f>IF(D258="","",IF(D258&gt;=$C$5,3,IF(D258&gt;=$E$5,2,1)))</f>
        <v/>
      </c>
      <c r="H258" s="10">
        <f>IF(E258="","",E258&amp;"-"&amp;F258&amp;"-"&amp;G258)</f>
        <v/>
      </c>
      <c r="I258" s="8">
        <f>IF(E258="","",CHOOSE(E258,"Churned","Dormant","Recent")&amp;", "&amp;CHOOSE(F258,"one-off","medium","frequent"))</f>
        <v/>
      </c>
    </row>
    <row r="259">
      <c r="A259" s="8" t="n"/>
      <c r="B259" s="8" t="n"/>
      <c r="C259" s="8" t="n"/>
      <c r="D259" s="9" t="n"/>
      <c r="E259" s="10">
        <f>IF(B259="","",IF(B259&lt;=$C$3,3,IF(B259&lt;=$E$3,2,1)))</f>
        <v/>
      </c>
      <c r="F259" s="10">
        <f>IF(C259="","",IF(C259&gt;=$C$4,3,IF(C259&gt;=$E$4,2,1)))</f>
        <v/>
      </c>
      <c r="G259" s="10">
        <f>IF(D259="","",IF(D259&gt;=$C$5,3,IF(D259&gt;=$E$5,2,1)))</f>
        <v/>
      </c>
      <c r="H259" s="10">
        <f>IF(E259="","",E259&amp;"-"&amp;F259&amp;"-"&amp;G259)</f>
        <v/>
      </c>
      <c r="I259" s="8">
        <f>IF(E259="","",CHOOSE(E259,"Churned","Dormant","Recent")&amp;", "&amp;CHOOSE(F259,"one-off","medium","frequent"))</f>
        <v/>
      </c>
    </row>
    <row r="260">
      <c r="A260" s="8" t="n"/>
      <c r="B260" s="8" t="n"/>
      <c r="C260" s="8" t="n"/>
      <c r="D260" s="9" t="n"/>
      <c r="E260" s="10">
        <f>IF(B260="","",IF(B260&lt;=$C$3,3,IF(B260&lt;=$E$3,2,1)))</f>
        <v/>
      </c>
      <c r="F260" s="10">
        <f>IF(C260="","",IF(C260&gt;=$C$4,3,IF(C260&gt;=$E$4,2,1)))</f>
        <v/>
      </c>
      <c r="G260" s="10">
        <f>IF(D260="","",IF(D260&gt;=$C$5,3,IF(D260&gt;=$E$5,2,1)))</f>
        <v/>
      </c>
      <c r="H260" s="10">
        <f>IF(E260="","",E260&amp;"-"&amp;F260&amp;"-"&amp;G260)</f>
        <v/>
      </c>
      <c r="I260" s="8">
        <f>IF(E260="","",CHOOSE(E260,"Churned","Dormant","Recent")&amp;", "&amp;CHOOSE(F260,"one-off","medium","frequent"))</f>
        <v/>
      </c>
    </row>
    <row r="261">
      <c r="A261" s="8" t="n"/>
      <c r="B261" s="8" t="n"/>
      <c r="C261" s="8" t="n"/>
      <c r="D261" s="9" t="n"/>
      <c r="E261" s="10">
        <f>IF(B261="","",IF(B261&lt;=$C$3,3,IF(B261&lt;=$E$3,2,1)))</f>
        <v/>
      </c>
      <c r="F261" s="10">
        <f>IF(C261="","",IF(C261&gt;=$C$4,3,IF(C261&gt;=$E$4,2,1)))</f>
        <v/>
      </c>
      <c r="G261" s="10">
        <f>IF(D261="","",IF(D261&gt;=$C$5,3,IF(D261&gt;=$E$5,2,1)))</f>
        <v/>
      </c>
      <c r="H261" s="10">
        <f>IF(E261="","",E261&amp;"-"&amp;F261&amp;"-"&amp;G261)</f>
        <v/>
      </c>
      <c r="I261" s="8">
        <f>IF(E261="","",CHOOSE(E261,"Churned","Dormant","Recent")&amp;", "&amp;CHOOSE(F261,"one-off","medium","frequent"))</f>
        <v/>
      </c>
    </row>
    <row r="262">
      <c r="A262" s="8" t="n"/>
      <c r="B262" s="8" t="n"/>
      <c r="C262" s="8" t="n"/>
      <c r="D262" s="9" t="n"/>
      <c r="E262" s="10">
        <f>IF(B262="","",IF(B262&lt;=$C$3,3,IF(B262&lt;=$E$3,2,1)))</f>
        <v/>
      </c>
      <c r="F262" s="10">
        <f>IF(C262="","",IF(C262&gt;=$C$4,3,IF(C262&gt;=$E$4,2,1)))</f>
        <v/>
      </c>
      <c r="G262" s="10">
        <f>IF(D262="","",IF(D262&gt;=$C$5,3,IF(D262&gt;=$E$5,2,1)))</f>
        <v/>
      </c>
      <c r="H262" s="10">
        <f>IF(E262="","",E262&amp;"-"&amp;F262&amp;"-"&amp;G262)</f>
        <v/>
      </c>
      <c r="I262" s="8">
        <f>IF(E262="","",CHOOSE(E262,"Churned","Dormant","Recent")&amp;", "&amp;CHOOSE(F262,"one-off","medium","frequent"))</f>
        <v/>
      </c>
    </row>
    <row r="263">
      <c r="A263" s="8" t="n"/>
      <c r="B263" s="8" t="n"/>
      <c r="C263" s="8" t="n"/>
      <c r="D263" s="9" t="n"/>
      <c r="E263" s="10">
        <f>IF(B263="","",IF(B263&lt;=$C$3,3,IF(B263&lt;=$E$3,2,1)))</f>
        <v/>
      </c>
      <c r="F263" s="10">
        <f>IF(C263="","",IF(C263&gt;=$C$4,3,IF(C263&gt;=$E$4,2,1)))</f>
        <v/>
      </c>
      <c r="G263" s="10">
        <f>IF(D263="","",IF(D263&gt;=$C$5,3,IF(D263&gt;=$E$5,2,1)))</f>
        <v/>
      </c>
      <c r="H263" s="10">
        <f>IF(E263="","",E263&amp;"-"&amp;F263&amp;"-"&amp;G263)</f>
        <v/>
      </c>
      <c r="I263" s="8">
        <f>IF(E263="","",CHOOSE(E263,"Churned","Dormant","Recent")&amp;", "&amp;CHOOSE(F263,"one-off","medium","frequent"))</f>
        <v/>
      </c>
    </row>
    <row r="264">
      <c r="A264" s="8" t="n"/>
      <c r="B264" s="8" t="n"/>
      <c r="C264" s="8" t="n"/>
      <c r="D264" s="9" t="n"/>
      <c r="E264" s="10">
        <f>IF(B264="","",IF(B264&lt;=$C$3,3,IF(B264&lt;=$E$3,2,1)))</f>
        <v/>
      </c>
      <c r="F264" s="10">
        <f>IF(C264="","",IF(C264&gt;=$C$4,3,IF(C264&gt;=$E$4,2,1)))</f>
        <v/>
      </c>
      <c r="G264" s="10">
        <f>IF(D264="","",IF(D264&gt;=$C$5,3,IF(D264&gt;=$E$5,2,1)))</f>
        <v/>
      </c>
      <c r="H264" s="10">
        <f>IF(E264="","",E264&amp;"-"&amp;F264&amp;"-"&amp;G264)</f>
        <v/>
      </c>
      <c r="I264" s="8">
        <f>IF(E264="","",CHOOSE(E264,"Churned","Dormant","Recent")&amp;", "&amp;CHOOSE(F264,"one-off","medium","frequent"))</f>
        <v/>
      </c>
    </row>
    <row r="265">
      <c r="A265" s="8" t="n"/>
      <c r="B265" s="8" t="n"/>
      <c r="C265" s="8" t="n"/>
      <c r="D265" s="9" t="n"/>
      <c r="E265" s="10">
        <f>IF(B265="","",IF(B265&lt;=$C$3,3,IF(B265&lt;=$E$3,2,1)))</f>
        <v/>
      </c>
      <c r="F265" s="10">
        <f>IF(C265="","",IF(C265&gt;=$C$4,3,IF(C265&gt;=$E$4,2,1)))</f>
        <v/>
      </c>
      <c r="G265" s="10">
        <f>IF(D265="","",IF(D265&gt;=$C$5,3,IF(D265&gt;=$E$5,2,1)))</f>
        <v/>
      </c>
      <c r="H265" s="10">
        <f>IF(E265="","",E265&amp;"-"&amp;F265&amp;"-"&amp;G265)</f>
        <v/>
      </c>
      <c r="I265" s="8">
        <f>IF(E265="","",CHOOSE(E265,"Churned","Dormant","Recent")&amp;", "&amp;CHOOSE(F265,"one-off","medium","frequent"))</f>
        <v/>
      </c>
    </row>
    <row r="266">
      <c r="A266" s="8" t="n"/>
      <c r="B266" s="8" t="n"/>
      <c r="C266" s="8" t="n"/>
      <c r="D266" s="9" t="n"/>
      <c r="E266" s="10">
        <f>IF(B266="","",IF(B266&lt;=$C$3,3,IF(B266&lt;=$E$3,2,1)))</f>
        <v/>
      </c>
      <c r="F266" s="10">
        <f>IF(C266="","",IF(C266&gt;=$C$4,3,IF(C266&gt;=$E$4,2,1)))</f>
        <v/>
      </c>
      <c r="G266" s="10">
        <f>IF(D266="","",IF(D266&gt;=$C$5,3,IF(D266&gt;=$E$5,2,1)))</f>
        <v/>
      </c>
      <c r="H266" s="10">
        <f>IF(E266="","",E266&amp;"-"&amp;F266&amp;"-"&amp;G266)</f>
        <v/>
      </c>
      <c r="I266" s="8">
        <f>IF(E266="","",CHOOSE(E266,"Churned","Dormant","Recent")&amp;", "&amp;CHOOSE(F266,"one-off","medium","frequent"))</f>
        <v/>
      </c>
    </row>
    <row r="267">
      <c r="A267" s="8" t="n"/>
      <c r="B267" s="8" t="n"/>
      <c r="C267" s="8" t="n"/>
      <c r="D267" s="9" t="n"/>
      <c r="E267" s="10">
        <f>IF(B267="","",IF(B267&lt;=$C$3,3,IF(B267&lt;=$E$3,2,1)))</f>
        <v/>
      </c>
      <c r="F267" s="10">
        <f>IF(C267="","",IF(C267&gt;=$C$4,3,IF(C267&gt;=$E$4,2,1)))</f>
        <v/>
      </c>
      <c r="G267" s="10">
        <f>IF(D267="","",IF(D267&gt;=$C$5,3,IF(D267&gt;=$E$5,2,1)))</f>
        <v/>
      </c>
      <c r="H267" s="10">
        <f>IF(E267="","",E267&amp;"-"&amp;F267&amp;"-"&amp;G267)</f>
        <v/>
      </c>
      <c r="I267" s="8">
        <f>IF(E267="","",CHOOSE(E267,"Churned","Dormant","Recent")&amp;", "&amp;CHOOSE(F267,"one-off","medium","frequent"))</f>
        <v/>
      </c>
    </row>
    <row r="268">
      <c r="A268" s="8" t="n"/>
      <c r="B268" s="8" t="n"/>
      <c r="C268" s="8" t="n"/>
      <c r="D268" s="9" t="n"/>
      <c r="E268" s="10">
        <f>IF(B268="","",IF(B268&lt;=$C$3,3,IF(B268&lt;=$E$3,2,1)))</f>
        <v/>
      </c>
      <c r="F268" s="10">
        <f>IF(C268="","",IF(C268&gt;=$C$4,3,IF(C268&gt;=$E$4,2,1)))</f>
        <v/>
      </c>
      <c r="G268" s="10">
        <f>IF(D268="","",IF(D268&gt;=$C$5,3,IF(D268&gt;=$E$5,2,1)))</f>
        <v/>
      </c>
      <c r="H268" s="10">
        <f>IF(E268="","",E268&amp;"-"&amp;F268&amp;"-"&amp;G268)</f>
        <v/>
      </c>
      <c r="I268" s="8">
        <f>IF(E268="","",CHOOSE(E268,"Churned","Dormant","Recent")&amp;", "&amp;CHOOSE(F268,"one-off","medium","frequent"))</f>
        <v/>
      </c>
    </row>
    <row r="269">
      <c r="A269" s="8" t="n"/>
      <c r="B269" s="8" t="n"/>
      <c r="C269" s="8" t="n"/>
      <c r="D269" s="9" t="n"/>
      <c r="E269" s="10">
        <f>IF(B269="","",IF(B269&lt;=$C$3,3,IF(B269&lt;=$E$3,2,1)))</f>
        <v/>
      </c>
      <c r="F269" s="10">
        <f>IF(C269="","",IF(C269&gt;=$C$4,3,IF(C269&gt;=$E$4,2,1)))</f>
        <v/>
      </c>
      <c r="G269" s="10">
        <f>IF(D269="","",IF(D269&gt;=$C$5,3,IF(D269&gt;=$E$5,2,1)))</f>
        <v/>
      </c>
      <c r="H269" s="10">
        <f>IF(E269="","",E269&amp;"-"&amp;F269&amp;"-"&amp;G269)</f>
        <v/>
      </c>
      <c r="I269" s="8">
        <f>IF(E269="","",CHOOSE(E269,"Churned","Dormant","Recent")&amp;", "&amp;CHOOSE(F269,"one-off","medium","frequent"))</f>
        <v/>
      </c>
    </row>
    <row r="270">
      <c r="A270" s="8" t="n"/>
      <c r="B270" s="8" t="n"/>
      <c r="C270" s="8" t="n"/>
      <c r="D270" s="9" t="n"/>
      <c r="E270" s="10">
        <f>IF(B270="","",IF(B270&lt;=$C$3,3,IF(B270&lt;=$E$3,2,1)))</f>
        <v/>
      </c>
      <c r="F270" s="10">
        <f>IF(C270="","",IF(C270&gt;=$C$4,3,IF(C270&gt;=$E$4,2,1)))</f>
        <v/>
      </c>
      <c r="G270" s="10">
        <f>IF(D270="","",IF(D270&gt;=$C$5,3,IF(D270&gt;=$E$5,2,1)))</f>
        <v/>
      </c>
      <c r="H270" s="10">
        <f>IF(E270="","",E270&amp;"-"&amp;F270&amp;"-"&amp;G270)</f>
        <v/>
      </c>
      <c r="I270" s="8">
        <f>IF(E270="","",CHOOSE(E270,"Churned","Dormant","Recent")&amp;", "&amp;CHOOSE(F270,"one-off","medium","frequent"))</f>
        <v/>
      </c>
    </row>
    <row r="271">
      <c r="A271" s="8" t="n"/>
      <c r="B271" s="8" t="n"/>
      <c r="C271" s="8" t="n"/>
      <c r="D271" s="9" t="n"/>
      <c r="E271" s="10">
        <f>IF(B271="","",IF(B271&lt;=$C$3,3,IF(B271&lt;=$E$3,2,1)))</f>
        <v/>
      </c>
      <c r="F271" s="10">
        <f>IF(C271="","",IF(C271&gt;=$C$4,3,IF(C271&gt;=$E$4,2,1)))</f>
        <v/>
      </c>
      <c r="G271" s="10">
        <f>IF(D271="","",IF(D271&gt;=$C$5,3,IF(D271&gt;=$E$5,2,1)))</f>
        <v/>
      </c>
      <c r="H271" s="10">
        <f>IF(E271="","",E271&amp;"-"&amp;F271&amp;"-"&amp;G271)</f>
        <v/>
      </c>
      <c r="I271" s="8">
        <f>IF(E271="","",CHOOSE(E271,"Churned","Dormant","Recent")&amp;", "&amp;CHOOSE(F271,"one-off","medium","frequent"))</f>
        <v/>
      </c>
    </row>
    <row r="272">
      <c r="A272" s="8" t="n"/>
      <c r="B272" s="8" t="n"/>
      <c r="C272" s="8" t="n"/>
      <c r="D272" s="9" t="n"/>
      <c r="E272" s="10">
        <f>IF(B272="","",IF(B272&lt;=$C$3,3,IF(B272&lt;=$E$3,2,1)))</f>
        <v/>
      </c>
      <c r="F272" s="10">
        <f>IF(C272="","",IF(C272&gt;=$C$4,3,IF(C272&gt;=$E$4,2,1)))</f>
        <v/>
      </c>
      <c r="G272" s="10">
        <f>IF(D272="","",IF(D272&gt;=$C$5,3,IF(D272&gt;=$E$5,2,1)))</f>
        <v/>
      </c>
      <c r="H272" s="10">
        <f>IF(E272="","",E272&amp;"-"&amp;F272&amp;"-"&amp;G272)</f>
        <v/>
      </c>
      <c r="I272" s="8">
        <f>IF(E272="","",CHOOSE(E272,"Churned","Dormant","Recent")&amp;", "&amp;CHOOSE(F272,"one-off","medium","frequent"))</f>
        <v/>
      </c>
    </row>
    <row r="273">
      <c r="A273" s="8" t="n"/>
      <c r="B273" s="8" t="n"/>
      <c r="C273" s="8" t="n"/>
      <c r="D273" s="9" t="n"/>
      <c r="E273" s="10">
        <f>IF(B273="","",IF(B273&lt;=$C$3,3,IF(B273&lt;=$E$3,2,1)))</f>
        <v/>
      </c>
      <c r="F273" s="10">
        <f>IF(C273="","",IF(C273&gt;=$C$4,3,IF(C273&gt;=$E$4,2,1)))</f>
        <v/>
      </c>
      <c r="G273" s="10">
        <f>IF(D273="","",IF(D273&gt;=$C$5,3,IF(D273&gt;=$E$5,2,1)))</f>
        <v/>
      </c>
      <c r="H273" s="10">
        <f>IF(E273="","",E273&amp;"-"&amp;F273&amp;"-"&amp;G273)</f>
        <v/>
      </c>
      <c r="I273" s="8">
        <f>IF(E273="","",CHOOSE(E273,"Churned","Dormant","Recent")&amp;", "&amp;CHOOSE(F273,"one-off","medium","frequent"))</f>
        <v/>
      </c>
    </row>
    <row r="274">
      <c r="A274" s="8" t="n"/>
      <c r="B274" s="8" t="n"/>
      <c r="C274" s="8" t="n"/>
      <c r="D274" s="9" t="n"/>
      <c r="E274" s="10">
        <f>IF(B274="","",IF(B274&lt;=$C$3,3,IF(B274&lt;=$E$3,2,1)))</f>
        <v/>
      </c>
      <c r="F274" s="10">
        <f>IF(C274="","",IF(C274&gt;=$C$4,3,IF(C274&gt;=$E$4,2,1)))</f>
        <v/>
      </c>
      <c r="G274" s="10">
        <f>IF(D274="","",IF(D274&gt;=$C$5,3,IF(D274&gt;=$E$5,2,1)))</f>
        <v/>
      </c>
      <c r="H274" s="10">
        <f>IF(E274="","",E274&amp;"-"&amp;F274&amp;"-"&amp;G274)</f>
        <v/>
      </c>
      <c r="I274" s="8">
        <f>IF(E274="","",CHOOSE(E274,"Churned","Dormant","Recent")&amp;", "&amp;CHOOSE(F274,"one-off","medium","frequent"))</f>
        <v/>
      </c>
    </row>
    <row r="275">
      <c r="A275" s="8" t="n"/>
      <c r="B275" s="8" t="n"/>
      <c r="C275" s="8" t="n"/>
      <c r="D275" s="9" t="n"/>
      <c r="E275" s="10">
        <f>IF(B275="","",IF(B275&lt;=$C$3,3,IF(B275&lt;=$E$3,2,1)))</f>
        <v/>
      </c>
      <c r="F275" s="10">
        <f>IF(C275="","",IF(C275&gt;=$C$4,3,IF(C275&gt;=$E$4,2,1)))</f>
        <v/>
      </c>
      <c r="G275" s="10">
        <f>IF(D275="","",IF(D275&gt;=$C$5,3,IF(D275&gt;=$E$5,2,1)))</f>
        <v/>
      </c>
      <c r="H275" s="10">
        <f>IF(E275="","",E275&amp;"-"&amp;F275&amp;"-"&amp;G275)</f>
        <v/>
      </c>
      <c r="I275" s="8">
        <f>IF(E275="","",CHOOSE(E275,"Churned","Dormant","Recent")&amp;", "&amp;CHOOSE(F275,"one-off","medium","frequent"))</f>
        <v/>
      </c>
    </row>
    <row r="276">
      <c r="A276" s="8" t="n"/>
      <c r="B276" s="8" t="n"/>
      <c r="C276" s="8" t="n"/>
      <c r="D276" s="9" t="n"/>
      <c r="E276" s="10">
        <f>IF(B276="","",IF(B276&lt;=$C$3,3,IF(B276&lt;=$E$3,2,1)))</f>
        <v/>
      </c>
      <c r="F276" s="10">
        <f>IF(C276="","",IF(C276&gt;=$C$4,3,IF(C276&gt;=$E$4,2,1)))</f>
        <v/>
      </c>
      <c r="G276" s="10">
        <f>IF(D276="","",IF(D276&gt;=$C$5,3,IF(D276&gt;=$E$5,2,1)))</f>
        <v/>
      </c>
      <c r="H276" s="10">
        <f>IF(E276="","",E276&amp;"-"&amp;F276&amp;"-"&amp;G276)</f>
        <v/>
      </c>
      <c r="I276" s="8">
        <f>IF(E276="","",CHOOSE(E276,"Churned","Dormant","Recent")&amp;", "&amp;CHOOSE(F276,"one-off","medium","frequent"))</f>
        <v/>
      </c>
    </row>
    <row r="277">
      <c r="A277" s="8" t="n"/>
      <c r="B277" s="8" t="n"/>
      <c r="C277" s="8" t="n"/>
      <c r="D277" s="9" t="n"/>
      <c r="E277" s="10">
        <f>IF(B277="","",IF(B277&lt;=$C$3,3,IF(B277&lt;=$E$3,2,1)))</f>
        <v/>
      </c>
      <c r="F277" s="10">
        <f>IF(C277="","",IF(C277&gt;=$C$4,3,IF(C277&gt;=$E$4,2,1)))</f>
        <v/>
      </c>
      <c r="G277" s="10">
        <f>IF(D277="","",IF(D277&gt;=$C$5,3,IF(D277&gt;=$E$5,2,1)))</f>
        <v/>
      </c>
      <c r="H277" s="10">
        <f>IF(E277="","",E277&amp;"-"&amp;F277&amp;"-"&amp;G277)</f>
        <v/>
      </c>
      <c r="I277" s="8">
        <f>IF(E277="","",CHOOSE(E277,"Churned","Dormant","Recent")&amp;", "&amp;CHOOSE(F277,"one-off","medium","frequent"))</f>
        <v/>
      </c>
    </row>
    <row r="278">
      <c r="A278" s="8" t="n"/>
      <c r="B278" s="8" t="n"/>
      <c r="C278" s="8" t="n"/>
      <c r="D278" s="9" t="n"/>
      <c r="E278" s="10">
        <f>IF(B278="","",IF(B278&lt;=$C$3,3,IF(B278&lt;=$E$3,2,1)))</f>
        <v/>
      </c>
      <c r="F278" s="10">
        <f>IF(C278="","",IF(C278&gt;=$C$4,3,IF(C278&gt;=$E$4,2,1)))</f>
        <v/>
      </c>
      <c r="G278" s="10">
        <f>IF(D278="","",IF(D278&gt;=$C$5,3,IF(D278&gt;=$E$5,2,1)))</f>
        <v/>
      </c>
      <c r="H278" s="10">
        <f>IF(E278="","",E278&amp;"-"&amp;F278&amp;"-"&amp;G278)</f>
        <v/>
      </c>
      <c r="I278" s="8">
        <f>IF(E278="","",CHOOSE(E278,"Churned","Dormant","Recent")&amp;", "&amp;CHOOSE(F278,"one-off","medium","frequent"))</f>
        <v/>
      </c>
    </row>
    <row r="279">
      <c r="A279" s="8" t="n"/>
      <c r="B279" s="8" t="n"/>
      <c r="C279" s="8" t="n"/>
      <c r="D279" s="9" t="n"/>
      <c r="E279" s="10">
        <f>IF(B279="","",IF(B279&lt;=$C$3,3,IF(B279&lt;=$E$3,2,1)))</f>
        <v/>
      </c>
      <c r="F279" s="10">
        <f>IF(C279="","",IF(C279&gt;=$C$4,3,IF(C279&gt;=$E$4,2,1)))</f>
        <v/>
      </c>
      <c r="G279" s="10">
        <f>IF(D279="","",IF(D279&gt;=$C$5,3,IF(D279&gt;=$E$5,2,1)))</f>
        <v/>
      </c>
      <c r="H279" s="10">
        <f>IF(E279="","",E279&amp;"-"&amp;F279&amp;"-"&amp;G279)</f>
        <v/>
      </c>
      <c r="I279" s="8">
        <f>IF(E279="","",CHOOSE(E279,"Churned","Dormant","Recent")&amp;", "&amp;CHOOSE(F279,"one-off","medium","frequent"))</f>
        <v/>
      </c>
    </row>
    <row r="280">
      <c r="A280" s="8" t="n"/>
      <c r="B280" s="8" t="n"/>
      <c r="C280" s="8" t="n"/>
      <c r="D280" s="9" t="n"/>
      <c r="E280" s="10">
        <f>IF(B280="","",IF(B280&lt;=$C$3,3,IF(B280&lt;=$E$3,2,1)))</f>
        <v/>
      </c>
      <c r="F280" s="10">
        <f>IF(C280="","",IF(C280&gt;=$C$4,3,IF(C280&gt;=$E$4,2,1)))</f>
        <v/>
      </c>
      <c r="G280" s="10">
        <f>IF(D280="","",IF(D280&gt;=$C$5,3,IF(D280&gt;=$E$5,2,1)))</f>
        <v/>
      </c>
      <c r="H280" s="10">
        <f>IF(E280="","",E280&amp;"-"&amp;F280&amp;"-"&amp;G280)</f>
        <v/>
      </c>
      <c r="I280" s="8">
        <f>IF(E280="","",CHOOSE(E280,"Churned","Dormant","Recent")&amp;", "&amp;CHOOSE(F280,"one-off","medium","frequent"))</f>
        <v/>
      </c>
    </row>
    <row r="281">
      <c r="A281" s="8" t="n"/>
      <c r="B281" s="8" t="n"/>
      <c r="C281" s="8" t="n"/>
      <c r="D281" s="9" t="n"/>
      <c r="E281" s="10">
        <f>IF(B281="","",IF(B281&lt;=$C$3,3,IF(B281&lt;=$E$3,2,1)))</f>
        <v/>
      </c>
      <c r="F281" s="10">
        <f>IF(C281="","",IF(C281&gt;=$C$4,3,IF(C281&gt;=$E$4,2,1)))</f>
        <v/>
      </c>
      <c r="G281" s="10">
        <f>IF(D281="","",IF(D281&gt;=$C$5,3,IF(D281&gt;=$E$5,2,1)))</f>
        <v/>
      </c>
      <c r="H281" s="10">
        <f>IF(E281="","",E281&amp;"-"&amp;F281&amp;"-"&amp;G281)</f>
        <v/>
      </c>
      <c r="I281" s="8">
        <f>IF(E281="","",CHOOSE(E281,"Churned","Dormant","Recent")&amp;", "&amp;CHOOSE(F281,"one-off","medium","frequent"))</f>
        <v/>
      </c>
    </row>
    <row r="282">
      <c r="A282" s="8" t="n"/>
      <c r="B282" s="8" t="n"/>
      <c r="C282" s="8" t="n"/>
      <c r="D282" s="9" t="n"/>
      <c r="E282" s="10">
        <f>IF(B282="","",IF(B282&lt;=$C$3,3,IF(B282&lt;=$E$3,2,1)))</f>
        <v/>
      </c>
      <c r="F282" s="10">
        <f>IF(C282="","",IF(C282&gt;=$C$4,3,IF(C282&gt;=$E$4,2,1)))</f>
        <v/>
      </c>
      <c r="G282" s="10">
        <f>IF(D282="","",IF(D282&gt;=$C$5,3,IF(D282&gt;=$E$5,2,1)))</f>
        <v/>
      </c>
      <c r="H282" s="10">
        <f>IF(E282="","",E282&amp;"-"&amp;F282&amp;"-"&amp;G282)</f>
        <v/>
      </c>
      <c r="I282" s="8">
        <f>IF(E282="","",CHOOSE(E282,"Churned","Dormant","Recent")&amp;", "&amp;CHOOSE(F282,"one-off","medium","frequent"))</f>
        <v/>
      </c>
    </row>
    <row r="283">
      <c r="A283" s="8" t="n"/>
      <c r="B283" s="8" t="n"/>
      <c r="C283" s="8" t="n"/>
      <c r="D283" s="9" t="n"/>
      <c r="E283" s="10">
        <f>IF(B283="","",IF(B283&lt;=$C$3,3,IF(B283&lt;=$E$3,2,1)))</f>
        <v/>
      </c>
      <c r="F283" s="10">
        <f>IF(C283="","",IF(C283&gt;=$C$4,3,IF(C283&gt;=$E$4,2,1)))</f>
        <v/>
      </c>
      <c r="G283" s="10">
        <f>IF(D283="","",IF(D283&gt;=$C$5,3,IF(D283&gt;=$E$5,2,1)))</f>
        <v/>
      </c>
      <c r="H283" s="10">
        <f>IF(E283="","",E283&amp;"-"&amp;F283&amp;"-"&amp;G283)</f>
        <v/>
      </c>
      <c r="I283" s="8">
        <f>IF(E283="","",CHOOSE(E283,"Churned","Dormant","Recent")&amp;", "&amp;CHOOSE(F283,"one-off","medium","frequent"))</f>
        <v/>
      </c>
    </row>
    <row r="284">
      <c r="A284" s="8" t="n"/>
      <c r="B284" s="8" t="n"/>
      <c r="C284" s="8" t="n"/>
      <c r="D284" s="9" t="n"/>
      <c r="E284" s="10">
        <f>IF(B284="","",IF(B284&lt;=$C$3,3,IF(B284&lt;=$E$3,2,1)))</f>
        <v/>
      </c>
      <c r="F284" s="10">
        <f>IF(C284="","",IF(C284&gt;=$C$4,3,IF(C284&gt;=$E$4,2,1)))</f>
        <v/>
      </c>
      <c r="G284" s="10">
        <f>IF(D284="","",IF(D284&gt;=$C$5,3,IF(D284&gt;=$E$5,2,1)))</f>
        <v/>
      </c>
      <c r="H284" s="10">
        <f>IF(E284="","",E284&amp;"-"&amp;F284&amp;"-"&amp;G284)</f>
        <v/>
      </c>
      <c r="I284" s="8">
        <f>IF(E284="","",CHOOSE(E284,"Churned","Dormant","Recent")&amp;", "&amp;CHOOSE(F284,"one-off","medium","frequent"))</f>
        <v/>
      </c>
    </row>
    <row r="285">
      <c r="A285" s="8" t="n"/>
      <c r="B285" s="8" t="n"/>
      <c r="C285" s="8" t="n"/>
      <c r="D285" s="9" t="n"/>
      <c r="E285" s="10">
        <f>IF(B285="","",IF(B285&lt;=$C$3,3,IF(B285&lt;=$E$3,2,1)))</f>
        <v/>
      </c>
      <c r="F285" s="10">
        <f>IF(C285="","",IF(C285&gt;=$C$4,3,IF(C285&gt;=$E$4,2,1)))</f>
        <v/>
      </c>
      <c r="G285" s="10">
        <f>IF(D285="","",IF(D285&gt;=$C$5,3,IF(D285&gt;=$E$5,2,1)))</f>
        <v/>
      </c>
      <c r="H285" s="10">
        <f>IF(E285="","",E285&amp;"-"&amp;F285&amp;"-"&amp;G285)</f>
        <v/>
      </c>
      <c r="I285" s="8">
        <f>IF(E285="","",CHOOSE(E285,"Churned","Dormant","Recent")&amp;", "&amp;CHOOSE(F285,"one-off","medium","frequent"))</f>
        <v/>
      </c>
    </row>
    <row r="286">
      <c r="A286" s="8" t="n"/>
      <c r="B286" s="8" t="n"/>
      <c r="C286" s="8" t="n"/>
      <c r="D286" s="9" t="n"/>
      <c r="E286" s="10">
        <f>IF(B286="","",IF(B286&lt;=$C$3,3,IF(B286&lt;=$E$3,2,1)))</f>
        <v/>
      </c>
      <c r="F286" s="10">
        <f>IF(C286="","",IF(C286&gt;=$C$4,3,IF(C286&gt;=$E$4,2,1)))</f>
        <v/>
      </c>
      <c r="G286" s="10">
        <f>IF(D286="","",IF(D286&gt;=$C$5,3,IF(D286&gt;=$E$5,2,1)))</f>
        <v/>
      </c>
      <c r="H286" s="10">
        <f>IF(E286="","",E286&amp;"-"&amp;F286&amp;"-"&amp;G286)</f>
        <v/>
      </c>
      <c r="I286" s="8">
        <f>IF(E286="","",CHOOSE(E286,"Churned","Dormant","Recent")&amp;", "&amp;CHOOSE(F286,"one-off","medium","frequent"))</f>
        <v/>
      </c>
    </row>
    <row r="287">
      <c r="A287" s="8" t="n"/>
      <c r="B287" s="8" t="n"/>
      <c r="C287" s="8" t="n"/>
      <c r="D287" s="9" t="n"/>
      <c r="E287" s="10">
        <f>IF(B287="","",IF(B287&lt;=$C$3,3,IF(B287&lt;=$E$3,2,1)))</f>
        <v/>
      </c>
      <c r="F287" s="10">
        <f>IF(C287="","",IF(C287&gt;=$C$4,3,IF(C287&gt;=$E$4,2,1)))</f>
        <v/>
      </c>
      <c r="G287" s="10">
        <f>IF(D287="","",IF(D287&gt;=$C$5,3,IF(D287&gt;=$E$5,2,1)))</f>
        <v/>
      </c>
      <c r="H287" s="10">
        <f>IF(E287="","",E287&amp;"-"&amp;F287&amp;"-"&amp;G287)</f>
        <v/>
      </c>
      <c r="I287" s="8">
        <f>IF(E287="","",CHOOSE(E287,"Churned","Dormant","Recent")&amp;", "&amp;CHOOSE(F287,"one-off","medium","frequent"))</f>
        <v/>
      </c>
    </row>
    <row r="288">
      <c r="A288" s="8" t="n"/>
      <c r="B288" s="8" t="n"/>
      <c r="C288" s="8" t="n"/>
      <c r="D288" s="9" t="n"/>
      <c r="E288" s="10">
        <f>IF(B288="","",IF(B288&lt;=$C$3,3,IF(B288&lt;=$E$3,2,1)))</f>
        <v/>
      </c>
      <c r="F288" s="10">
        <f>IF(C288="","",IF(C288&gt;=$C$4,3,IF(C288&gt;=$E$4,2,1)))</f>
        <v/>
      </c>
      <c r="G288" s="10">
        <f>IF(D288="","",IF(D288&gt;=$C$5,3,IF(D288&gt;=$E$5,2,1)))</f>
        <v/>
      </c>
      <c r="H288" s="10">
        <f>IF(E288="","",E288&amp;"-"&amp;F288&amp;"-"&amp;G288)</f>
        <v/>
      </c>
      <c r="I288" s="8">
        <f>IF(E288="","",CHOOSE(E288,"Churned","Dormant","Recent")&amp;", "&amp;CHOOSE(F288,"one-off","medium","frequent"))</f>
        <v/>
      </c>
    </row>
    <row r="289">
      <c r="A289" s="8" t="n"/>
      <c r="B289" s="8" t="n"/>
      <c r="C289" s="8" t="n"/>
      <c r="D289" s="9" t="n"/>
      <c r="E289" s="10">
        <f>IF(B289="","",IF(B289&lt;=$C$3,3,IF(B289&lt;=$E$3,2,1)))</f>
        <v/>
      </c>
      <c r="F289" s="10">
        <f>IF(C289="","",IF(C289&gt;=$C$4,3,IF(C289&gt;=$E$4,2,1)))</f>
        <v/>
      </c>
      <c r="G289" s="10">
        <f>IF(D289="","",IF(D289&gt;=$C$5,3,IF(D289&gt;=$E$5,2,1)))</f>
        <v/>
      </c>
      <c r="H289" s="10">
        <f>IF(E289="","",E289&amp;"-"&amp;F289&amp;"-"&amp;G289)</f>
        <v/>
      </c>
      <c r="I289" s="8">
        <f>IF(E289="","",CHOOSE(E289,"Churned","Dormant","Recent")&amp;", "&amp;CHOOSE(F289,"one-off","medium","frequent"))</f>
        <v/>
      </c>
    </row>
    <row r="290">
      <c r="A290" s="8" t="n"/>
      <c r="B290" s="8" t="n"/>
      <c r="C290" s="8" t="n"/>
      <c r="D290" s="9" t="n"/>
      <c r="E290" s="10">
        <f>IF(B290="","",IF(B290&lt;=$C$3,3,IF(B290&lt;=$E$3,2,1)))</f>
        <v/>
      </c>
      <c r="F290" s="10">
        <f>IF(C290="","",IF(C290&gt;=$C$4,3,IF(C290&gt;=$E$4,2,1)))</f>
        <v/>
      </c>
      <c r="G290" s="10">
        <f>IF(D290="","",IF(D290&gt;=$C$5,3,IF(D290&gt;=$E$5,2,1)))</f>
        <v/>
      </c>
      <c r="H290" s="10">
        <f>IF(E290="","",E290&amp;"-"&amp;F290&amp;"-"&amp;G290)</f>
        <v/>
      </c>
      <c r="I290" s="8">
        <f>IF(E290="","",CHOOSE(E290,"Churned","Dormant","Recent")&amp;", "&amp;CHOOSE(F290,"one-off","medium","frequent"))</f>
        <v/>
      </c>
    </row>
    <row r="291">
      <c r="A291" s="8" t="n"/>
      <c r="B291" s="8" t="n"/>
      <c r="C291" s="8" t="n"/>
      <c r="D291" s="9" t="n"/>
      <c r="E291" s="10">
        <f>IF(B291="","",IF(B291&lt;=$C$3,3,IF(B291&lt;=$E$3,2,1)))</f>
        <v/>
      </c>
      <c r="F291" s="10">
        <f>IF(C291="","",IF(C291&gt;=$C$4,3,IF(C291&gt;=$E$4,2,1)))</f>
        <v/>
      </c>
      <c r="G291" s="10">
        <f>IF(D291="","",IF(D291&gt;=$C$5,3,IF(D291&gt;=$E$5,2,1)))</f>
        <v/>
      </c>
      <c r="H291" s="10">
        <f>IF(E291="","",E291&amp;"-"&amp;F291&amp;"-"&amp;G291)</f>
        <v/>
      </c>
      <c r="I291" s="8">
        <f>IF(E291="","",CHOOSE(E291,"Churned","Dormant","Recent")&amp;", "&amp;CHOOSE(F291,"one-off","medium","frequent"))</f>
        <v/>
      </c>
    </row>
    <row r="292">
      <c r="A292" s="8" t="n"/>
      <c r="B292" s="8" t="n"/>
      <c r="C292" s="8" t="n"/>
      <c r="D292" s="9" t="n"/>
      <c r="E292" s="10">
        <f>IF(B292="","",IF(B292&lt;=$C$3,3,IF(B292&lt;=$E$3,2,1)))</f>
        <v/>
      </c>
      <c r="F292" s="10">
        <f>IF(C292="","",IF(C292&gt;=$C$4,3,IF(C292&gt;=$E$4,2,1)))</f>
        <v/>
      </c>
      <c r="G292" s="10">
        <f>IF(D292="","",IF(D292&gt;=$C$5,3,IF(D292&gt;=$E$5,2,1)))</f>
        <v/>
      </c>
      <c r="H292" s="10">
        <f>IF(E292="","",E292&amp;"-"&amp;F292&amp;"-"&amp;G292)</f>
        <v/>
      </c>
      <c r="I292" s="8">
        <f>IF(E292="","",CHOOSE(E292,"Churned","Dormant","Recent")&amp;", "&amp;CHOOSE(F292,"one-off","medium","frequent"))</f>
        <v/>
      </c>
    </row>
    <row r="293">
      <c r="A293" s="8" t="n"/>
      <c r="B293" s="8" t="n"/>
      <c r="C293" s="8" t="n"/>
      <c r="D293" s="9" t="n"/>
      <c r="E293" s="10">
        <f>IF(B293="","",IF(B293&lt;=$C$3,3,IF(B293&lt;=$E$3,2,1)))</f>
        <v/>
      </c>
      <c r="F293" s="10">
        <f>IF(C293="","",IF(C293&gt;=$C$4,3,IF(C293&gt;=$E$4,2,1)))</f>
        <v/>
      </c>
      <c r="G293" s="10">
        <f>IF(D293="","",IF(D293&gt;=$C$5,3,IF(D293&gt;=$E$5,2,1)))</f>
        <v/>
      </c>
      <c r="H293" s="10">
        <f>IF(E293="","",E293&amp;"-"&amp;F293&amp;"-"&amp;G293)</f>
        <v/>
      </c>
      <c r="I293" s="8">
        <f>IF(E293="","",CHOOSE(E293,"Churned","Dormant","Recent")&amp;", "&amp;CHOOSE(F293,"one-off","medium","frequent"))</f>
        <v/>
      </c>
    </row>
    <row r="294">
      <c r="A294" s="8" t="n"/>
      <c r="B294" s="8" t="n"/>
      <c r="C294" s="8" t="n"/>
      <c r="D294" s="9" t="n"/>
      <c r="E294" s="10">
        <f>IF(B294="","",IF(B294&lt;=$C$3,3,IF(B294&lt;=$E$3,2,1)))</f>
        <v/>
      </c>
      <c r="F294" s="10">
        <f>IF(C294="","",IF(C294&gt;=$C$4,3,IF(C294&gt;=$E$4,2,1)))</f>
        <v/>
      </c>
      <c r="G294" s="10">
        <f>IF(D294="","",IF(D294&gt;=$C$5,3,IF(D294&gt;=$E$5,2,1)))</f>
        <v/>
      </c>
      <c r="H294" s="10">
        <f>IF(E294="","",E294&amp;"-"&amp;F294&amp;"-"&amp;G294)</f>
        <v/>
      </c>
      <c r="I294" s="8">
        <f>IF(E294="","",CHOOSE(E294,"Churned","Dormant","Recent")&amp;", "&amp;CHOOSE(F294,"one-off","medium","frequent"))</f>
        <v/>
      </c>
    </row>
    <row r="295">
      <c r="A295" s="8" t="n"/>
      <c r="B295" s="8" t="n"/>
      <c r="C295" s="8" t="n"/>
      <c r="D295" s="9" t="n"/>
      <c r="E295" s="10">
        <f>IF(B295="","",IF(B295&lt;=$C$3,3,IF(B295&lt;=$E$3,2,1)))</f>
        <v/>
      </c>
      <c r="F295" s="10">
        <f>IF(C295="","",IF(C295&gt;=$C$4,3,IF(C295&gt;=$E$4,2,1)))</f>
        <v/>
      </c>
      <c r="G295" s="10">
        <f>IF(D295="","",IF(D295&gt;=$C$5,3,IF(D295&gt;=$E$5,2,1)))</f>
        <v/>
      </c>
      <c r="H295" s="10">
        <f>IF(E295="","",E295&amp;"-"&amp;F295&amp;"-"&amp;G295)</f>
        <v/>
      </c>
      <c r="I295" s="8">
        <f>IF(E295="","",CHOOSE(E295,"Churned","Dormant","Recent")&amp;", "&amp;CHOOSE(F295,"one-off","medium","frequent"))</f>
        <v/>
      </c>
    </row>
    <row r="296">
      <c r="A296" s="8" t="n"/>
      <c r="B296" s="8" t="n"/>
      <c r="C296" s="8" t="n"/>
      <c r="D296" s="9" t="n"/>
      <c r="E296" s="10">
        <f>IF(B296="","",IF(B296&lt;=$C$3,3,IF(B296&lt;=$E$3,2,1)))</f>
        <v/>
      </c>
      <c r="F296" s="10">
        <f>IF(C296="","",IF(C296&gt;=$C$4,3,IF(C296&gt;=$E$4,2,1)))</f>
        <v/>
      </c>
      <c r="G296" s="10">
        <f>IF(D296="","",IF(D296&gt;=$C$5,3,IF(D296&gt;=$E$5,2,1)))</f>
        <v/>
      </c>
      <c r="H296" s="10">
        <f>IF(E296="","",E296&amp;"-"&amp;F296&amp;"-"&amp;G296)</f>
        <v/>
      </c>
      <c r="I296" s="8">
        <f>IF(E296="","",CHOOSE(E296,"Churned","Dormant","Recent")&amp;", "&amp;CHOOSE(F296,"one-off","medium","frequent"))</f>
        <v/>
      </c>
    </row>
    <row r="297">
      <c r="A297" s="8" t="n"/>
      <c r="B297" s="8" t="n"/>
      <c r="C297" s="8" t="n"/>
      <c r="D297" s="9" t="n"/>
      <c r="E297" s="10">
        <f>IF(B297="","",IF(B297&lt;=$C$3,3,IF(B297&lt;=$E$3,2,1)))</f>
        <v/>
      </c>
      <c r="F297" s="10">
        <f>IF(C297="","",IF(C297&gt;=$C$4,3,IF(C297&gt;=$E$4,2,1)))</f>
        <v/>
      </c>
      <c r="G297" s="10">
        <f>IF(D297="","",IF(D297&gt;=$C$5,3,IF(D297&gt;=$E$5,2,1)))</f>
        <v/>
      </c>
      <c r="H297" s="10">
        <f>IF(E297="","",E297&amp;"-"&amp;F297&amp;"-"&amp;G297)</f>
        <v/>
      </c>
      <c r="I297" s="8">
        <f>IF(E297="","",CHOOSE(E297,"Churned","Dormant","Recent")&amp;", "&amp;CHOOSE(F297,"one-off","medium","frequent"))</f>
        <v/>
      </c>
    </row>
    <row r="298">
      <c r="A298" s="8" t="n"/>
      <c r="B298" s="8" t="n"/>
      <c r="C298" s="8" t="n"/>
      <c r="D298" s="9" t="n"/>
      <c r="E298" s="10">
        <f>IF(B298="","",IF(B298&lt;=$C$3,3,IF(B298&lt;=$E$3,2,1)))</f>
        <v/>
      </c>
      <c r="F298" s="10">
        <f>IF(C298="","",IF(C298&gt;=$C$4,3,IF(C298&gt;=$E$4,2,1)))</f>
        <v/>
      </c>
      <c r="G298" s="10">
        <f>IF(D298="","",IF(D298&gt;=$C$5,3,IF(D298&gt;=$E$5,2,1)))</f>
        <v/>
      </c>
      <c r="H298" s="10">
        <f>IF(E298="","",E298&amp;"-"&amp;F298&amp;"-"&amp;G298)</f>
        <v/>
      </c>
      <c r="I298" s="8">
        <f>IF(E298="","",CHOOSE(E298,"Churned","Dormant","Recent")&amp;", "&amp;CHOOSE(F298,"one-off","medium","frequent"))</f>
        <v/>
      </c>
    </row>
    <row r="299">
      <c r="A299" s="8" t="n"/>
      <c r="B299" s="8" t="n"/>
      <c r="C299" s="8" t="n"/>
      <c r="D299" s="9" t="n"/>
      <c r="E299" s="10">
        <f>IF(B299="","",IF(B299&lt;=$C$3,3,IF(B299&lt;=$E$3,2,1)))</f>
        <v/>
      </c>
      <c r="F299" s="10">
        <f>IF(C299="","",IF(C299&gt;=$C$4,3,IF(C299&gt;=$E$4,2,1)))</f>
        <v/>
      </c>
      <c r="G299" s="10">
        <f>IF(D299="","",IF(D299&gt;=$C$5,3,IF(D299&gt;=$E$5,2,1)))</f>
        <v/>
      </c>
      <c r="H299" s="10">
        <f>IF(E299="","",E299&amp;"-"&amp;F299&amp;"-"&amp;G299)</f>
        <v/>
      </c>
      <c r="I299" s="8">
        <f>IF(E299="","",CHOOSE(E299,"Churned","Dormant","Recent")&amp;", "&amp;CHOOSE(F299,"one-off","medium","frequent"))</f>
        <v/>
      </c>
    </row>
    <row r="300">
      <c r="A300" s="8" t="n"/>
      <c r="B300" s="8" t="n"/>
      <c r="C300" s="8" t="n"/>
      <c r="D300" s="9" t="n"/>
      <c r="E300" s="10">
        <f>IF(B300="","",IF(B300&lt;=$C$3,3,IF(B300&lt;=$E$3,2,1)))</f>
        <v/>
      </c>
      <c r="F300" s="10">
        <f>IF(C300="","",IF(C300&gt;=$C$4,3,IF(C300&gt;=$E$4,2,1)))</f>
        <v/>
      </c>
      <c r="G300" s="10">
        <f>IF(D300="","",IF(D300&gt;=$C$5,3,IF(D300&gt;=$E$5,2,1)))</f>
        <v/>
      </c>
      <c r="H300" s="10">
        <f>IF(E300="","",E300&amp;"-"&amp;F300&amp;"-"&amp;G300)</f>
        <v/>
      </c>
      <c r="I300" s="8">
        <f>IF(E300="","",CHOOSE(E300,"Churned","Dormant","Recent")&amp;", "&amp;CHOOSE(F300,"one-off","medium","frequent"))</f>
        <v/>
      </c>
    </row>
    <row r="301">
      <c r="A301" s="8" t="n"/>
      <c r="B301" s="8" t="n"/>
      <c r="C301" s="8" t="n"/>
      <c r="D301" s="9" t="n"/>
      <c r="E301" s="10">
        <f>IF(B301="","",IF(B301&lt;=$C$3,3,IF(B301&lt;=$E$3,2,1)))</f>
        <v/>
      </c>
      <c r="F301" s="10">
        <f>IF(C301="","",IF(C301&gt;=$C$4,3,IF(C301&gt;=$E$4,2,1)))</f>
        <v/>
      </c>
      <c r="G301" s="10">
        <f>IF(D301="","",IF(D301&gt;=$C$5,3,IF(D301&gt;=$E$5,2,1)))</f>
        <v/>
      </c>
      <c r="H301" s="10">
        <f>IF(E301="","",E301&amp;"-"&amp;F301&amp;"-"&amp;G301)</f>
        <v/>
      </c>
      <c r="I301" s="8">
        <f>IF(E301="","",CHOOSE(E301,"Churned","Dormant","Recent")&amp;", "&amp;CHOOSE(F301,"one-off","medium","frequent"))</f>
        <v/>
      </c>
    </row>
    <row r="302">
      <c r="A302" s="8" t="n"/>
      <c r="B302" s="8" t="n"/>
      <c r="C302" s="8" t="n"/>
      <c r="D302" s="9" t="n"/>
      <c r="E302" s="10">
        <f>IF(B302="","",IF(B302&lt;=$C$3,3,IF(B302&lt;=$E$3,2,1)))</f>
        <v/>
      </c>
      <c r="F302" s="10">
        <f>IF(C302="","",IF(C302&gt;=$C$4,3,IF(C302&gt;=$E$4,2,1)))</f>
        <v/>
      </c>
      <c r="G302" s="10">
        <f>IF(D302="","",IF(D302&gt;=$C$5,3,IF(D302&gt;=$E$5,2,1)))</f>
        <v/>
      </c>
      <c r="H302" s="10">
        <f>IF(E302="","",E302&amp;"-"&amp;F302&amp;"-"&amp;G302)</f>
        <v/>
      </c>
      <c r="I302" s="8">
        <f>IF(E302="","",CHOOSE(E302,"Churned","Dormant","Recent")&amp;", "&amp;CHOOSE(F302,"one-off","medium","frequent"))</f>
        <v/>
      </c>
    </row>
    <row r="303">
      <c r="A303" s="8" t="n"/>
      <c r="B303" s="8" t="n"/>
      <c r="C303" s="8" t="n"/>
      <c r="D303" s="9" t="n"/>
      <c r="E303" s="10">
        <f>IF(B303="","",IF(B303&lt;=$C$3,3,IF(B303&lt;=$E$3,2,1)))</f>
        <v/>
      </c>
      <c r="F303" s="10">
        <f>IF(C303="","",IF(C303&gt;=$C$4,3,IF(C303&gt;=$E$4,2,1)))</f>
        <v/>
      </c>
      <c r="G303" s="10">
        <f>IF(D303="","",IF(D303&gt;=$C$5,3,IF(D303&gt;=$E$5,2,1)))</f>
        <v/>
      </c>
      <c r="H303" s="10">
        <f>IF(E303="","",E303&amp;"-"&amp;F303&amp;"-"&amp;G303)</f>
        <v/>
      </c>
      <c r="I303" s="8">
        <f>IF(E303="","",CHOOSE(E303,"Churned","Dormant","Recent")&amp;", "&amp;CHOOSE(F303,"one-off","medium","frequent"))</f>
        <v/>
      </c>
    </row>
    <row r="304">
      <c r="A304" s="8" t="n"/>
      <c r="B304" s="8" t="n"/>
      <c r="C304" s="8" t="n"/>
      <c r="D304" s="9" t="n"/>
      <c r="E304" s="10">
        <f>IF(B304="","",IF(B304&lt;=$C$3,3,IF(B304&lt;=$E$3,2,1)))</f>
        <v/>
      </c>
      <c r="F304" s="10">
        <f>IF(C304="","",IF(C304&gt;=$C$4,3,IF(C304&gt;=$E$4,2,1)))</f>
        <v/>
      </c>
      <c r="G304" s="10">
        <f>IF(D304="","",IF(D304&gt;=$C$5,3,IF(D304&gt;=$E$5,2,1)))</f>
        <v/>
      </c>
      <c r="H304" s="10">
        <f>IF(E304="","",E304&amp;"-"&amp;F304&amp;"-"&amp;G304)</f>
        <v/>
      </c>
      <c r="I304" s="8">
        <f>IF(E304="","",CHOOSE(E304,"Churned","Dormant","Recent")&amp;", "&amp;CHOOSE(F304,"one-off","medium","frequent"))</f>
        <v/>
      </c>
    </row>
    <row r="305">
      <c r="A305" s="8" t="n"/>
      <c r="B305" s="8" t="n"/>
      <c r="C305" s="8" t="n"/>
      <c r="D305" s="9" t="n"/>
      <c r="E305" s="10">
        <f>IF(B305="","",IF(B305&lt;=$C$3,3,IF(B305&lt;=$E$3,2,1)))</f>
        <v/>
      </c>
      <c r="F305" s="10">
        <f>IF(C305="","",IF(C305&gt;=$C$4,3,IF(C305&gt;=$E$4,2,1)))</f>
        <v/>
      </c>
      <c r="G305" s="10">
        <f>IF(D305="","",IF(D305&gt;=$C$5,3,IF(D305&gt;=$E$5,2,1)))</f>
        <v/>
      </c>
      <c r="H305" s="10">
        <f>IF(E305="","",E305&amp;"-"&amp;F305&amp;"-"&amp;G305)</f>
        <v/>
      </c>
      <c r="I305" s="8">
        <f>IF(E305="","",CHOOSE(E305,"Churned","Dormant","Recent")&amp;", "&amp;CHOOSE(F305,"one-off","medium","frequent"))</f>
        <v/>
      </c>
    </row>
    <row r="306">
      <c r="A306" s="8" t="n"/>
      <c r="B306" s="8" t="n"/>
      <c r="C306" s="8" t="n"/>
      <c r="D306" s="9" t="n"/>
      <c r="E306" s="10">
        <f>IF(B306="","",IF(B306&lt;=$C$3,3,IF(B306&lt;=$E$3,2,1)))</f>
        <v/>
      </c>
      <c r="F306" s="10">
        <f>IF(C306="","",IF(C306&gt;=$C$4,3,IF(C306&gt;=$E$4,2,1)))</f>
        <v/>
      </c>
      <c r="G306" s="10">
        <f>IF(D306="","",IF(D306&gt;=$C$5,3,IF(D306&gt;=$E$5,2,1)))</f>
        <v/>
      </c>
      <c r="H306" s="10">
        <f>IF(E306="","",E306&amp;"-"&amp;F306&amp;"-"&amp;G306)</f>
        <v/>
      </c>
      <c r="I306" s="8">
        <f>IF(E306="","",CHOOSE(E306,"Churned","Dormant","Recent")&amp;", "&amp;CHOOSE(F306,"one-off","medium","frequent"))</f>
        <v/>
      </c>
    </row>
    <row r="307">
      <c r="A307" s="8" t="n"/>
      <c r="B307" s="8" t="n"/>
      <c r="C307" s="8" t="n"/>
      <c r="D307" s="9" t="n"/>
      <c r="E307" s="10">
        <f>IF(B307="","",IF(B307&lt;=$C$3,3,IF(B307&lt;=$E$3,2,1)))</f>
        <v/>
      </c>
      <c r="F307" s="10">
        <f>IF(C307="","",IF(C307&gt;=$C$4,3,IF(C307&gt;=$E$4,2,1)))</f>
        <v/>
      </c>
      <c r="G307" s="10">
        <f>IF(D307="","",IF(D307&gt;=$C$5,3,IF(D307&gt;=$E$5,2,1)))</f>
        <v/>
      </c>
      <c r="H307" s="10">
        <f>IF(E307="","",E307&amp;"-"&amp;F307&amp;"-"&amp;G307)</f>
        <v/>
      </c>
      <c r="I307" s="8">
        <f>IF(E307="","",CHOOSE(E307,"Churned","Dormant","Recent")&amp;", "&amp;CHOOSE(F307,"one-off","medium","frequent"))</f>
        <v/>
      </c>
    </row>
  </sheetData>
  <mergeCells count="1">
    <mergeCell ref="A1:I1"/>
  </mergeCells>
  <dataValidations count="1">
    <dataValidation sqref="B8:D307 C3:C5 E3:E5" showDropDown="0" showInputMessage="0" showErrorMessage="1" allowBlank="1" error="The value cannot be negative" type="decimal" errorStyle="warning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>
        <f>Customers!A1</f>
        <v/>
      </c>
    </row>
    <row r="2">
      <c r="A2" s="2" t="n"/>
    </row>
    <row r="4">
      <c r="A4" s="3" t="inlineStr">
        <is>
          <t>Customers</t>
        </is>
      </c>
      <c r="B4" s="11" t="inlineStr">
        <is>
          <t>Frequent (F = 3)</t>
        </is>
      </c>
      <c r="C4" s="11" t="inlineStr">
        <is>
          <t>Medium (F = 2)</t>
        </is>
      </c>
      <c r="D4" s="11" t="inlineStr">
        <is>
          <t>One-off (F = 1)</t>
        </is>
      </c>
      <c r="E4" s="11" t="inlineStr">
        <is>
          <t>Total</t>
        </is>
      </c>
    </row>
    <row r="5">
      <c r="A5" s="3" t="inlineStr">
        <is>
          <t>Bought recently (R = 3)</t>
        </is>
      </c>
      <c r="B5" s="12">
        <f>COUNTIFS(Customers!$E$8:$E$5007,3,Customers!$F$8:$F$5007,3)</f>
        <v/>
      </c>
      <c r="C5" s="12">
        <f>COUNTIFS(Customers!$E$8:$E$5007,3,Customers!$F$8:$F$5007,2)</f>
        <v/>
      </c>
      <c r="D5" s="12">
        <f>COUNTIFS(Customers!$E$8:$E$5007,3,Customers!$F$8:$F$5007,1)</f>
        <v/>
      </c>
      <c r="E5" s="13">
        <f>SUM(B5:D5)</f>
        <v/>
      </c>
    </row>
    <row r="6">
      <c r="A6" s="3" t="inlineStr">
        <is>
          <t>Dormant (R = 2)</t>
        </is>
      </c>
      <c r="B6" s="12">
        <f>COUNTIFS(Customers!$E$8:$E$5007,2,Customers!$F$8:$F$5007,3)</f>
        <v/>
      </c>
      <c r="C6" s="12">
        <f>COUNTIFS(Customers!$E$8:$E$5007,2,Customers!$F$8:$F$5007,2)</f>
        <v/>
      </c>
      <c r="D6" s="12">
        <f>COUNTIFS(Customers!$E$8:$E$5007,2,Customers!$F$8:$F$5007,1)</f>
        <v/>
      </c>
      <c r="E6" s="13">
        <f>SUM(B6:D6)</f>
        <v/>
      </c>
    </row>
    <row r="7">
      <c r="A7" s="3" t="inlineStr">
        <is>
          <t>Churned (R = 1)</t>
        </is>
      </c>
      <c r="B7" s="12">
        <f>COUNTIFS(Customers!$E$8:$E$5007,1,Customers!$F$8:$F$5007,3)</f>
        <v/>
      </c>
      <c r="C7" s="12">
        <f>COUNTIFS(Customers!$E$8:$E$5007,1,Customers!$F$8:$F$5007,2)</f>
        <v/>
      </c>
      <c r="D7" s="12">
        <f>COUNTIFS(Customers!$E$8:$E$5007,1,Customers!$F$8:$F$5007,1)</f>
        <v/>
      </c>
      <c r="E7" s="13">
        <f>SUM(B7:D7)</f>
        <v/>
      </c>
    </row>
    <row r="10">
      <c r="A10" s="3" t="inlineStr">
        <is>
          <t>Purchase amount</t>
        </is>
      </c>
      <c r="B10" s="11" t="inlineStr">
        <is>
          <t>Frequent (F = 3)</t>
        </is>
      </c>
      <c r="C10" s="11" t="inlineStr">
        <is>
          <t>Medium (F = 2)</t>
        </is>
      </c>
      <c r="D10" s="11" t="inlineStr">
        <is>
          <t>One-off (F = 1)</t>
        </is>
      </c>
      <c r="E10" s="11" t="inlineStr">
        <is>
          <t>Total</t>
        </is>
      </c>
    </row>
    <row r="11">
      <c r="A11" s="3" t="inlineStr">
        <is>
          <t>Bought recently (R = 3)</t>
        </is>
      </c>
      <c r="B11" s="12">
        <f>SUMIFS(Customers!$D$8:$D$5007,Customers!$E$8:$E$5007,3,Customers!$F$8:$F$5007,3)</f>
        <v/>
      </c>
      <c r="C11" s="12">
        <f>SUMIFS(Customers!$D$8:$D$5007,Customers!$E$8:$E$5007,3,Customers!$F$8:$F$5007,2)</f>
        <v/>
      </c>
      <c r="D11" s="12">
        <f>SUMIFS(Customers!$D$8:$D$5007,Customers!$E$8:$E$5007,3,Customers!$F$8:$F$5007,1)</f>
        <v/>
      </c>
      <c r="E11" s="13">
        <f>SUM(B11:D11)</f>
        <v/>
      </c>
    </row>
    <row r="12">
      <c r="A12" s="3" t="inlineStr">
        <is>
          <t>Dormant (R = 2)</t>
        </is>
      </c>
      <c r="B12" s="12">
        <f>SUMIFS(Customers!$D$8:$D$5007,Customers!$E$8:$E$5007,2,Customers!$F$8:$F$5007,3)</f>
        <v/>
      </c>
      <c r="C12" s="12">
        <f>SUMIFS(Customers!$D$8:$D$5007,Customers!$E$8:$E$5007,2,Customers!$F$8:$F$5007,2)</f>
        <v/>
      </c>
      <c r="D12" s="12">
        <f>SUMIFS(Customers!$D$8:$D$5007,Customers!$E$8:$E$5007,2,Customers!$F$8:$F$5007,1)</f>
        <v/>
      </c>
      <c r="E12" s="13">
        <f>SUM(B12:D12)</f>
        <v/>
      </c>
    </row>
    <row r="13">
      <c r="A13" s="3" t="inlineStr">
        <is>
          <t>Churned (R = 1)</t>
        </is>
      </c>
      <c r="B13" s="12">
        <f>SUMIFS(Customers!$D$8:$D$5007,Customers!$E$8:$E$5007,1,Customers!$F$8:$F$5007,3)</f>
        <v/>
      </c>
      <c r="C13" s="12">
        <f>SUMIFS(Customers!$D$8:$D$5007,Customers!$E$8:$E$5007,1,Customers!$F$8:$F$5007,2)</f>
        <v/>
      </c>
      <c r="D13" s="12">
        <f>SUMIFS(Customers!$D$8:$D$5007,Customers!$E$8:$E$5007,1,Customers!$F$8:$F$5007,1)</f>
        <v/>
      </c>
      <c r="E13" s="13">
        <f>SUM(B13:D13)</f>
        <v/>
      </c>
    </row>
    <row r="16">
      <c r="A16" s="2" t="n"/>
    </row>
    <row r="18">
      <c r="A18" s="3" t="inlineStr">
        <is>
          <t>Actions per cell:</t>
        </is>
      </c>
    </row>
    <row r="19">
      <c r="A19" s="14" t="inlineStr">
        <is>
          <t>{{actions: one action per cell}}</t>
        </is>
      </c>
    </row>
    <row r="20"/>
    <row r="21"/>
    <row r="22"/>
    <row r="23"/>
    <row r="24"/>
    <row r="25"/>
    <row r="26"/>
    <row r="27"/>
  </sheetData>
  <mergeCells count="2">
    <mergeCell ref="A1:E1"/>
    <mergeCell ref="A19:E27"/>
  </mergeCells>
  <conditionalFormatting sqref="B5:D7">
    <cfRule type="colorScale" priority="1">
      <colorScale>
        <cfvo type="min"/>
        <cfvo type="max"/>
        <color rgb="00FFFFFF"/>
        <color rgb="009DC3F5"/>
      </colorScale>
    </cfRule>
  </conditionalFormatting>
  <conditionalFormatting sqref="B11:D13">
    <cfRule type="colorScale" priority="2">
      <colorScale>
        <cfvo type="min"/>
        <cfvo type="max"/>
        <color rgb="00FFFFFF"/>
        <color rgb="009DC3F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2026-10-22T06:54:08Z</dcterms:created>
  <dcterms:modified xmlns:dcterms="http://purl.org/dc/terms/" xmlns:xsi="http://www.w3.org/2001/XMLSchema-instance" xsi:type="dcterms:W3CDTF">2026-10-22T06:54:08Z</dcterms:modified>
</cp:coreProperties>
</file>