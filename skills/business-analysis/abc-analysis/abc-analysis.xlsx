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" sheetId="1" state="visible" r:id="rId1"/>
    <sheet xmlns:r="http://schemas.openxmlformats.org/officeDocument/2006/relationships" name="Curve" sheetId="2" state="visible" r:id="rId2"/>
  </sheets>
  <definedNames>
    <definedName name="data_start">'ABC'!$A$8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3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9" fontId="0" fillId="3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pivotButton="0" quotePrefix="0" xfId="0"/>
    <xf numFmtId="164" fontId="4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curve</a:t>
            </a:r>
          </a:p>
        </rich>
      </tx>
    </title>
    <plotArea>
      <scatterChart>
        <scatterStyle val="line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'Curve'!$B$3:$B$503</f>
            </numRef>
          </xVal>
          <yVal>
            <numRef>
              <f>'Curve'!$C$3:$C$503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objects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value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pdm-skills</author>
  </authors>
  <commentList>
    <comment ref="B2" authorId="0" shapeId="0">
      <text>
        <t>An object falls into A while the cumulative share before it is below this boundary. The canon is 80%; change it before the calculation, not after.</t>
      </text>
    </comment>
    <comment ref="B3" authorId="0" shapeId="0">
      <text>
        <t>An object falls into B while the cumulative share before it is below this boundary, but not below the A boundary; the rest are C. The canon is 95%.</t>
      </text>
    </comment>
    <comment ref="A7" authorId="0" shapeId="0">
      <text>
        <t>A product, customer, seller, feature — one row per object. Row order is arbitrary: rank and classes are calculated automatically.</t>
      </text>
    </comment>
    <comment ref="B7" authorId="0" shapeId="0">
      <text>
        <t>The number to rank by: revenue, margin, orders, frequency — one measure and one period for all rows.</t>
      </text>
    </comment>
    <comment ref="C7" authorId="0" shapeId="0">
      <text>
        <t>Features of the object: new, seasonal, strategic — what the formula does not see.</t>
      </text>
    </comment>
    <comment ref="D7" authorId="0" shapeId="0">
      <text>
        <t>Calculated automatically: position by value, 1 — the most valuable.</t>
      </text>
    </comment>
    <comment ref="E7" authorId="0" shapeId="0">
      <text>
        <t>Calculated automatically: the object's share of total value.</t>
      </text>
    </comment>
    <comment ref="F7" authorId="0" shapeId="0">
      <text>
        <t>Calculated automatically: A, B or C by the cumulative share of value up to the object and the boundaries in B2 and B3.</t>
      </text>
    </comment>
    <comment ref="G7" authorId="0" shapeId="0">
      <text>
        <t>Calculated automatically: the cumulative share of value of objects ranked at or above this one, including it.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36" customWidth="1" min="3" max="3"/>
    <col width="9" customWidth="1" min="4" max="4"/>
    <col width="10" customWidth="1" min="5" max="5"/>
    <col width="9" customWidth="1" min="6" max="6"/>
    <col width="12" customWidth="1" min="7" max="7"/>
  </cols>
  <sheetData>
    <row r="1">
      <c r="A1" s="1" t="inlineStr">
        <is>
          <t>ABC Analysis: {{title: what is ranked, by which value, for which period}}</t>
        </is>
      </c>
    </row>
    <row r="2">
      <c r="A2" s="2" t="inlineStr">
        <is>
          <t>A boundary: cumulative share of value up to</t>
        </is>
      </c>
      <c r="B2" s="3" t="n">
        <v>0.8</v>
      </c>
      <c r="D2" s="4" t="inlineStr">
        <is>
          <t>Class</t>
        </is>
      </c>
      <c r="E2" s="4" t="inlineStr">
        <is>
          <t>Objects</t>
        </is>
      </c>
      <c r="F2" s="4" t="inlineStr">
        <is>
          <t>Share of objects</t>
        </is>
      </c>
      <c r="G2" s="4" t="inlineStr">
        <is>
          <t>Share of value</t>
        </is>
      </c>
    </row>
    <row r="3">
      <c r="A3" s="2" t="inlineStr">
        <is>
          <t>B boundary: cumulative share of value up to</t>
        </is>
      </c>
      <c r="B3" s="3" t="n">
        <v>0.95</v>
      </c>
      <c r="D3" s="5" t="inlineStr">
        <is>
          <t>A</t>
        </is>
      </c>
      <c r="E3" s="6">
        <f>COUNTIF($F$8:$F$507,"A")</f>
        <v/>
      </c>
      <c r="F3" s="7">
        <f>IF(COUNT($B$8:$B$507)=0,"",E3/COUNT($B$8:$B$507))</f>
        <v/>
      </c>
      <c r="G3" s="7">
        <f>IF(SUM($B$8:$B$507)=0,"",SUMIF($F$8:$F$507,"A",$B$8:$B$507)/SUM($B$8:$B$507))</f>
        <v/>
      </c>
    </row>
    <row r="4">
      <c r="D4" s="5" t="inlineStr">
        <is>
          <t>B</t>
        </is>
      </c>
      <c r="E4" s="6">
        <f>COUNTIF($F$8:$F$507,"B")</f>
        <v/>
      </c>
      <c r="F4" s="7">
        <f>IF(COUNT($B$8:$B$507)=0,"",E4/COUNT($B$8:$B$507))</f>
        <v/>
      </c>
      <c r="G4" s="7">
        <f>IF(SUM($B$8:$B$507)=0,"",SUMIF($F$8:$F$507,"B",$B$8:$B$507)/SUM($B$8:$B$507))</f>
        <v/>
      </c>
    </row>
    <row r="5">
      <c r="D5" s="5" t="inlineStr">
        <is>
          <t>C</t>
        </is>
      </c>
      <c r="E5" s="6">
        <f>COUNTIF($F$8:$F$507,"C")</f>
        <v/>
      </c>
      <c r="F5" s="7">
        <f>IF(COUNT($B$8:$B$507)=0,"",E5/COUNT($B$8:$B$507))</f>
        <v/>
      </c>
      <c r="G5" s="7">
        <f>IF(SUM($B$8:$B$507)=0,"",SUMIF($F$8:$F$507,"C",$B$8:$B$507)/SUM($B$8:$B$507))</f>
        <v/>
      </c>
    </row>
    <row r="7">
      <c r="A7" s="8" t="inlineStr">
        <is>
          <t>Object</t>
        </is>
      </c>
      <c r="B7" s="8" t="inlineStr">
        <is>
          <t>Value</t>
        </is>
      </c>
      <c r="C7" s="8" t="inlineStr">
        <is>
          <t>Comment</t>
        </is>
      </c>
      <c r="D7" s="8" t="inlineStr">
        <is>
          <t>Rank</t>
        </is>
      </c>
      <c r="E7" s="8" t="inlineStr">
        <is>
          <t>Share</t>
        </is>
      </c>
      <c r="F7" s="8" t="inlineStr">
        <is>
          <t>Class</t>
        </is>
      </c>
      <c r="G7" s="8" t="inlineStr">
        <is>
          <t>Cumulative</t>
        </is>
      </c>
    </row>
    <row r="8">
      <c r="A8" s="9" t="n"/>
      <c r="B8" s="9" t="n"/>
      <c r="C8" s="10" t="n"/>
      <c r="D8" s="11">
        <f>IF(B8="","",RANK(B8,$B$8:$B$507)+COUNTIF(B$8:B8,B8)-1)</f>
        <v/>
      </c>
      <c r="E8" s="12">
        <f>IF(B8="","",B8/SUM($B$8:$B$507))</f>
        <v/>
      </c>
      <c r="F8" s="11">
        <f>IF(B8="","",IF(G8-E8&lt;$B$2,"A",IF(G8-E8&lt;$B$3,"B","C")))</f>
        <v/>
      </c>
      <c r="G8" s="12">
        <f>IF(B8="","",SUMIF($D$8:$D$507,"&lt;="&amp;D8,$B$8:$B$507)/SUM($B$8:$B$507))</f>
        <v/>
      </c>
    </row>
    <row r="9">
      <c r="A9" s="9" t="n"/>
      <c r="B9" s="9" t="n"/>
      <c r="C9" s="10" t="n"/>
      <c r="D9" s="11">
        <f>IF(B9="","",RANK(B9,$B$8:$B$507)+COUNTIF(B$8:B9,B9)-1)</f>
        <v/>
      </c>
      <c r="E9" s="12">
        <f>IF(B9="","",B9/SUM($B$8:$B$507))</f>
        <v/>
      </c>
      <c r="F9" s="11">
        <f>IF(B9="","",IF(G9-E9&lt;$B$2,"A",IF(G9-E9&lt;$B$3,"B","C")))</f>
        <v/>
      </c>
      <c r="G9" s="12">
        <f>IF(B9="","",SUMIF($D$8:$D$507,"&lt;="&amp;D9,$B$8:$B$507)/SUM($B$8:$B$507))</f>
        <v/>
      </c>
    </row>
    <row r="10">
      <c r="A10" s="9" t="n"/>
      <c r="B10" s="9" t="n"/>
      <c r="C10" s="10" t="n"/>
      <c r="D10" s="11">
        <f>IF(B10="","",RANK(B10,$B$8:$B$507)+COUNTIF(B$8:B10,B10)-1)</f>
        <v/>
      </c>
      <c r="E10" s="12">
        <f>IF(B10="","",B10/SUM($B$8:$B$507))</f>
        <v/>
      </c>
      <c r="F10" s="11">
        <f>IF(B10="","",IF(G10-E10&lt;$B$2,"A",IF(G10-E10&lt;$B$3,"B","C")))</f>
        <v/>
      </c>
      <c r="G10" s="12">
        <f>IF(B10="","",SUMIF($D$8:$D$507,"&lt;="&amp;D10,$B$8:$B$507)/SUM($B$8:$B$507))</f>
        <v/>
      </c>
    </row>
    <row r="11">
      <c r="A11" s="9" t="n"/>
      <c r="B11" s="9" t="n"/>
      <c r="C11" s="10" t="n"/>
      <c r="D11" s="11">
        <f>IF(B11="","",RANK(B11,$B$8:$B$507)+COUNTIF(B$8:B11,B11)-1)</f>
        <v/>
      </c>
      <c r="E11" s="12">
        <f>IF(B11="","",B11/SUM($B$8:$B$507))</f>
        <v/>
      </c>
      <c r="F11" s="11">
        <f>IF(B11="","",IF(G11-E11&lt;$B$2,"A",IF(G11-E11&lt;$B$3,"B","C")))</f>
        <v/>
      </c>
      <c r="G11" s="12">
        <f>IF(B11="","",SUMIF($D$8:$D$507,"&lt;="&amp;D11,$B$8:$B$507)/SUM($B$8:$B$507))</f>
        <v/>
      </c>
    </row>
    <row r="12">
      <c r="A12" s="9" t="n"/>
      <c r="B12" s="9" t="n"/>
      <c r="C12" s="10" t="n"/>
      <c r="D12" s="11">
        <f>IF(B12="","",RANK(B12,$B$8:$B$507)+COUNTIF(B$8:B12,B12)-1)</f>
        <v/>
      </c>
      <c r="E12" s="12">
        <f>IF(B12="","",B12/SUM($B$8:$B$507))</f>
        <v/>
      </c>
      <c r="F12" s="11">
        <f>IF(B12="","",IF(G12-E12&lt;$B$2,"A",IF(G12-E12&lt;$B$3,"B","C")))</f>
        <v/>
      </c>
      <c r="G12" s="12">
        <f>IF(B12="","",SUMIF($D$8:$D$507,"&lt;="&amp;D12,$B$8:$B$507)/SUM($B$8:$B$507))</f>
        <v/>
      </c>
    </row>
    <row r="13">
      <c r="A13" s="9" t="n"/>
      <c r="B13" s="9" t="n"/>
      <c r="C13" s="10" t="n"/>
      <c r="D13" s="11">
        <f>IF(B13="","",RANK(B13,$B$8:$B$507)+COUNTIF(B$8:B13,B13)-1)</f>
        <v/>
      </c>
      <c r="E13" s="12">
        <f>IF(B13="","",B13/SUM($B$8:$B$507))</f>
        <v/>
      </c>
      <c r="F13" s="11">
        <f>IF(B13="","",IF(G13-E13&lt;$B$2,"A",IF(G13-E13&lt;$B$3,"B","C")))</f>
        <v/>
      </c>
      <c r="G13" s="12">
        <f>IF(B13="","",SUMIF($D$8:$D$507,"&lt;="&amp;D13,$B$8:$B$507)/SUM($B$8:$B$507))</f>
        <v/>
      </c>
    </row>
    <row r="14">
      <c r="A14" s="9" t="n"/>
      <c r="B14" s="9" t="n"/>
      <c r="C14" s="10" t="n"/>
      <c r="D14" s="11">
        <f>IF(B14="","",RANK(B14,$B$8:$B$507)+COUNTIF(B$8:B14,B14)-1)</f>
        <v/>
      </c>
      <c r="E14" s="12">
        <f>IF(B14="","",B14/SUM($B$8:$B$507))</f>
        <v/>
      </c>
      <c r="F14" s="11">
        <f>IF(B14="","",IF(G14-E14&lt;$B$2,"A",IF(G14-E14&lt;$B$3,"B","C")))</f>
        <v/>
      </c>
      <c r="G14" s="12">
        <f>IF(B14="","",SUMIF($D$8:$D$507,"&lt;="&amp;D14,$B$8:$B$507)/SUM($B$8:$B$507))</f>
        <v/>
      </c>
    </row>
    <row r="15">
      <c r="A15" s="9" t="n"/>
      <c r="B15" s="9" t="n"/>
      <c r="C15" s="10" t="n"/>
      <c r="D15" s="11">
        <f>IF(B15="","",RANK(B15,$B$8:$B$507)+COUNTIF(B$8:B15,B15)-1)</f>
        <v/>
      </c>
      <c r="E15" s="12">
        <f>IF(B15="","",B15/SUM($B$8:$B$507))</f>
        <v/>
      </c>
      <c r="F15" s="11">
        <f>IF(B15="","",IF(G15-E15&lt;$B$2,"A",IF(G15-E15&lt;$B$3,"B","C")))</f>
        <v/>
      </c>
      <c r="G15" s="12">
        <f>IF(B15="","",SUMIF($D$8:$D$507,"&lt;="&amp;D15,$B$8:$B$507)/SUM($B$8:$B$507))</f>
        <v/>
      </c>
    </row>
    <row r="16">
      <c r="A16" s="9" t="n"/>
      <c r="B16" s="9" t="n"/>
      <c r="C16" s="10" t="n"/>
      <c r="D16" s="11">
        <f>IF(B16="","",RANK(B16,$B$8:$B$507)+COUNTIF(B$8:B16,B16)-1)</f>
        <v/>
      </c>
      <c r="E16" s="12">
        <f>IF(B16="","",B16/SUM($B$8:$B$507))</f>
        <v/>
      </c>
      <c r="F16" s="11">
        <f>IF(B16="","",IF(G16-E16&lt;$B$2,"A",IF(G16-E16&lt;$B$3,"B","C")))</f>
        <v/>
      </c>
      <c r="G16" s="12">
        <f>IF(B16="","",SUMIF($D$8:$D$507,"&lt;="&amp;D16,$B$8:$B$507)/SUM($B$8:$B$507))</f>
        <v/>
      </c>
    </row>
    <row r="17">
      <c r="A17" s="9" t="n"/>
      <c r="B17" s="9" t="n"/>
      <c r="C17" s="10" t="n"/>
      <c r="D17" s="11">
        <f>IF(B17="","",RANK(B17,$B$8:$B$507)+COUNTIF(B$8:B17,B17)-1)</f>
        <v/>
      </c>
      <c r="E17" s="12">
        <f>IF(B17="","",B17/SUM($B$8:$B$507))</f>
        <v/>
      </c>
      <c r="F17" s="11">
        <f>IF(B17="","",IF(G17-E17&lt;$B$2,"A",IF(G17-E17&lt;$B$3,"B","C")))</f>
        <v/>
      </c>
      <c r="G17" s="12">
        <f>IF(B17="","",SUMIF($D$8:$D$507,"&lt;="&amp;D17,$B$8:$B$507)/SUM($B$8:$B$507))</f>
        <v/>
      </c>
    </row>
    <row r="18">
      <c r="A18" s="9" t="n"/>
      <c r="B18" s="9" t="n"/>
      <c r="C18" s="10" t="n"/>
      <c r="D18" s="11">
        <f>IF(B18="","",RANK(B18,$B$8:$B$507)+COUNTIF(B$8:B18,B18)-1)</f>
        <v/>
      </c>
      <c r="E18" s="12">
        <f>IF(B18="","",B18/SUM($B$8:$B$507))</f>
        <v/>
      </c>
      <c r="F18" s="11">
        <f>IF(B18="","",IF(G18-E18&lt;$B$2,"A",IF(G18-E18&lt;$B$3,"B","C")))</f>
        <v/>
      </c>
      <c r="G18" s="12">
        <f>IF(B18="","",SUMIF($D$8:$D$507,"&lt;="&amp;D18,$B$8:$B$507)/SUM($B$8:$B$507))</f>
        <v/>
      </c>
    </row>
    <row r="19">
      <c r="A19" s="9" t="n"/>
      <c r="B19" s="9" t="n"/>
      <c r="C19" s="10" t="n"/>
      <c r="D19" s="11">
        <f>IF(B19="","",RANK(B19,$B$8:$B$507)+COUNTIF(B$8:B19,B19)-1)</f>
        <v/>
      </c>
      <c r="E19" s="12">
        <f>IF(B19="","",B19/SUM($B$8:$B$507))</f>
        <v/>
      </c>
      <c r="F19" s="11">
        <f>IF(B19="","",IF(G19-E19&lt;$B$2,"A",IF(G19-E19&lt;$B$3,"B","C")))</f>
        <v/>
      </c>
      <c r="G19" s="12">
        <f>IF(B19="","",SUMIF($D$8:$D$507,"&lt;="&amp;D19,$B$8:$B$507)/SUM($B$8:$B$507))</f>
        <v/>
      </c>
    </row>
    <row r="20">
      <c r="A20" s="9" t="n"/>
      <c r="B20" s="9" t="n"/>
      <c r="C20" s="10" t="n"/>
      <c r="D20" s="11">
        <f>IF(B20="","",RANK(B20,$B$8:$B$507)+COUNTIF(B$8:B20,B20)-1)</f>
        <v/>
      </c>
      <c r="E20" s="12">
        <f>IF(B20="","",B20/SUM($B$8:$B$507))</f>
        <v/>
      </c>
      <c r="F20" s="11">
        <f>IF(B20="","",IF(G20-E20&lt;$B$2,"A",IF(G20-E20&lt;$B$3,"B","C")))</f>
        <v/>
      </c>
      <c r="G20" s="12">
        <f>IF(B20="","",SUMIF($D$8:$D$507,"&lt;="&amp;D20,$B$8:$B$507)/SUM($B$8:$B$507))</f>
        <v/>
      </c>
    </row>
    <row r="21">
      <c r="A21" s="9" t="n"/>
      <c r="B21" s="9" t="n"/>
      <c r="C21" s="10" t="n"/>
      <c r="D21" s="11">
        <f>IF(B21="","",RANK(B21,$B$8:$B$507)+COUNTIF(B$8:B21,B21)-1)</f>
        <v/>
      </c>
      <c r="E21" s="12">
        <f>IF(B21="","",B21/SUM($B$8:$B$507))</f>
        <v/>
      </c>
      <c r="F21" s="11">
        <f>IF(B21="","",IF(G21-E21&lt;$B$2,"A",IF(G21-E21&lt;$B$3,"B","C")))</f>
        <v/>
      </c>
      <c r="G21" s="12">
        <f>IF(B21="","",SUMIF($D$8:$D$507,"&lt;="&amp;D21,$B$8:$B$507)/SUM($B$8:$B$507))</f>
        <v/>
      </c>
    </row>
    <row r="22">
      <c r="A22" s="9" t="n"/>
      <c r="B22" s="9" t="n"/>
      <c r="C22" s="10" t="n"/>
      <c r="D22" s="11">
        <f>IF(B22="","",RANK(B22,$B$8:$B$507)+COUNTIF(B$8:B22,B22)-1)</f>
        <v/>
      </c>
      <c r="E22" s="12">
        <f>IF(B22="","",B22/SUM($B$8:$B$507))</f>
        <v/>
      </c>
      <c r="F22" s="11">
        <f>IF(B22="","",IF(G22-E22&lt;$B$2,"A",IF(G22-E22&lt;$B$3,"B","C")))</f>
        <v/>
      </c>
      <c r="G22" s="12">
        <f>IF(B22="","",SUMIF($D$8:$D$507,"&lt;="&amp;D22,$B$8:$B$507)/SUM($B$8:$B$507))</f>
        <v/>
      </c>
    </row>
    <row r="23">
      <c r="A23" s="9" t="n"/>
      <c r="B23" s="9" t="n"/>
      <c r="C23" s="10" t="n"/>
      <c r="D23" s="11">
        <f>IF(B23="","",RANK(B23,$B$8:$B$507)+COUNTIF(B$8:B23,B23)-1)</f>
        <v/>
      </c>
      <c r="E23" s="12">
        <f>IF(B23="","",B23/SUM($B$8:$B$507))</f>
        <v/>
      </c>
      <c r="F23" s="11">
        <f>IF(B23="","",IF(G23-E23&lt;$B$2,"A",IF(G23-E23&lt;$B$3,"B","C")))</f>
        <v/>
      </c>
      <c r="G23" s="12">
        <f>IF(B23="","",SUMIF($D$8:$D$507,"&lt;="&amp;D23,$B$8:$B$507)/SUM($B$8:$B$507))</f>
        <v/>
      </c>
    </row>
    <row r="24">
      <c r="A24" s="9" t="n"/>
      <c r="B24" s="9" t="n"/>
      <c r="C24" s="10" t="n"/>
      <c r="D24" s="11">
        <f>IF(B24="","",RANK(B24,$B$8:$B$507)+COUNTIF(B$8:B24,B24)-1)</f>
        <v/>
      </c>
      <c r="E24" s="12">
        <f>IF(B24="","",B24/SUM($B$8:$B$507))</f>
        <v/>
      </c>
      <c r="F24" s="11">
        <f>IF(B24="","",IF(G24-E24&lt;$B$2,"A",IF(G24-E24&lt;$B$3,"B","C")))</f>
        <v/>
      </c>
      <c r="G24" s="12">
        <f>IF(B24="","",SUMIF($D$8:$D$507,"&lt;="&amp;D24,$B$8:$B$507)/SUM($B$8:$B$507))</f>
        <v/>
      </c>
    </row>
    <row r="25">
      <c r="A25" s="9" t="n"/>
      <c r="B25" s="9" t="n"/>
      <c r="C25" s="10" t="n"/>
      <c r="D25" s="11">
        <f>IF(B25="","",RANK(B25,$B$8:$B$507)+COUNTIF(B$8:B25,B25)-1)</f>
        <v/>
      </c>
      <c r="E25" s="12">
        <f>IF(B25="","",B25/SUM($B$8:$B$507))</f>
        <v/>
      </c>
      <c r="F25" s="11">
        <f>IF(B25="","",IF(G25-E25&lt;$B$2,"A",IF(G25-E25&lt;$B$3,"B","C")))</f>
        <v/>
      </c>
      <c r="G25" s="12">
        <f>IF(B25="","",SUMIF($D$8:$D$507,"&lt;="&amp;D25,$B$8:$B$507)/SUM($B$8:$B$507))</f>
        <v/>
      </c>
    </row>
    <row r="26">
      <c r="A26" s="9" t="n"/>
      <c r="B26" s="9" t="n"/>
      <c r="C26" s="10" t="n"/>
      <c r="D26" s="11">
        <f>IF(B26="","",RANK(B26,$B$8:$B$507)+COUNTIF(B$8:B26,B26)-1)</f>
        <v/>
      </c>
      <c r="E26" s="12">
        <f>IF(B26="","",B26/SUM($B$8:$B$507))</f>
        <v/>
      </c>
      <c r="F26" s="11">
        <f>IF(B26="","",IF(G26-E26&lt;$B$2,"A",IF(G26-E26&lt;$B$3,"B","C")))</f>
        <v/>
      </c>
      <c r="G26" s="12">
        <f>IF(B26="","",SUMIF($D$8:$D$507,"&lt;="&amp;D26,$B$8:$B$507)/SUM($B$8:$B$507))</f>
        <v/>
      </c>
    </row>
    <row r="27">
      <c r="A27" s="9" t="n"/>
      <c r="B27" s="9" t="n"/>
      <c r="C27" s="10" t="n"/>
      <c r="D27" s="11">
        <f>IF(B27="","",RANK(B27,$B$8:$B$507)+COUNTIF(B$8:B27,B27)-1)</f>
        <v/>
      </c>
      <c r="E27" s="12">
        <f>IF(B27="","",B27/SUM($B$8:$B$507))</f>
        <v/>
      </c>
      <c r="F27" s="11">
        <f>IF(B27="","",IF(G27-E27&lt;$B$2,"A",IF(G27-E27&lt;$B$3,"B","C")))</f>
        <v/>
      </c>
      <c r="G27" s="12">
        <f>IF(B27="","",SUMIF($D$8:$D$507,"&lt;="&amp;D27,$B$8:$B$507)/SUM($B$8:$B$507))</f>
        <v/>
      </c>
    </row>
    <row r="28">
      <c r="A28" s="9" t="n"/>
      <c r="B28" s="9" t="n"/>
      <c r="C28" s="10" t="n"/>
      <c r="D28" s="11">
        <f>IF(B28="","",RANK(B28,$B$8:$B$507)+COUNTIF(B$8:B28,B28)-1)</f>
        <v/>
      </c>
      <c r="E28" s="12">
        <f>IF(B28="","",B28/SUM($B$8:$B$507))</f>
        <v/>
      </c>
      <c r="F28" s="11">
        <f>IF(B28="","",IF(G28-E28&lt;$B$2,"A",IF(G28-E28&lt;$B$3,"B","C")))</f>
        <v/>
      </c>
      <c r="G28" s="12">
        <f>IF(B28="","",SUMIF($D$8:$D$507,"&lt;="&amp;D28,$B$8:$B$507)/SUM($B$8:$B$507))</f>
        <v/>
      </c>
    </row>
    <row r="29">
      <c r="A29" s="9" t="n"/>
      <c r="B29" s="9" t="n"/>
      <c r="C29" s="10" t="n"/>
      <c r="D29" s="11">
        <f>IF(B29="","",RANK(B29,$B$8:$B$507)+COUNTIF(B$8:B29,B29)-1)</f>
        <v/>
      </c>
      <c r="E29" s="12">
        <f>IF(B29="","",B29/SUM($B$8:$B$507))</f>
        <v/>
      </c>
      <c r="F29" s="11">
        <f>IF(B29="","",IF(G29-E29&lt;$B$2,"A",IF(G29-E29&lt;$B$3,"B","C")))</f>
        <v/>
      </c>
      <c r="G29" s="12">
        <f>IF(B29="","",SUMIF($D$8:$D$507,"&lt;="&amp;D29,$B$8:$B$507)/SUM($B$8:$B$507))</f>
        <v/>
      </c>
    </row>
    <row r="30">
      <c r="A30" s="9" t="n"/>
      <c r="B30" s="9" t="n"/>
      <c r="C30" s="10" t="n"/>
      <c r="D30" s="11">
        <f>IF(B30="","",RANK(B30,$B$8:$B$507)+COUNTIF(B$8:B30,B30)-1)</f>
        <v/>
      </c>
      <c r="E30" s="12">
        <f>IF(B30="","",B30/SUM($B$8:$B$507))</f>
        <v/>
      </c>
      <c r="F30" s="11">
        <f>IF(B30="","",IF(G30-E30&lt;$B$2,"A",IF(G30-E30&lt;$B$3,"B","C")))</f>
        <v/>
      </c>
      <c r="G30" s="12">
        <f>IF(B30="","",SUMIF($D$8:$D$507,"&lt;="&amp;D30,$B$8:$B$507)/SUM($B$8:$B$507))</f>
        <v/>
      </c>
    </row>
    <row r="31">
      <c r="A31" s="9" t="n"/>
      <c r="B31" s="9" t="n"/>
      <c r="C31" s="10" t="n"/>
      <c r="D31" s="11">
        <f>IF(B31="","",RANK(B31,$B$8:$B$507)+COUNTIF(B$8:B31,B31)-1)</f>
        <v/>
      </c>
      <c r="E31" s="12">
        <f>IF(B31="","",B31/SUM($B$8:$B$507))</f>
        <v/>
      </c>
      <c r="F31" s="11">
        <f>IF(B31="","",IF(G31-E31&lt;$B$2,"A",IF(G31-E31&lt;$B$3,"B","C")))</f>
        <v/>
      </c>
      <c r="G31" s="12">
        <f>IF(B31="","",SUMIF($D$8:$D$507,"&lt;="&amp;D31,$B$8:$B$507)/SUM($B$8:$B$507))</f>
        <v/>
      </c>
    </row>
    <row r="32">
      <c r="A32" s="9" t="n"/>
      <c r="B32" s="9" t="n"/>
      <c r="C32" s="10" t="n"/>
      <c r="D32" s="11">
        <f>IF(B32="","",RANK(B32,$B$8:$B$507)+COUNTIF(B$8:B32,B32)-1)</f>
        <v/>
      </c>
      <c r="E32" s="12">
        <f>IF(B32="","",B32/SUM($B$8:$B$507))</f>
        <v/>
      </c>
      <c r="F32" s="11">
        <f>IF(B32="","",IF(G32-E32&lt;$B$2,"A",IF(G32-E32&lt;$B$3,"B","C")))</f>
        <v/>
      </c>
      <c r="G32" s="12">
        <f>IF(B32="","",SUMIF($D$8:$D$507,"&lt;="&amp;D32,$B$8:$B$507)/SUM($B$8:$B$507))</f>
        <v/>
      </c>
    </row>
    <row r="33">
      <c r="A33" s="9" t="n"/>
      <c r="B33" s="9" t="n"/>
      <c r="C33" s="10" t="n"/>
      <c r="D33" s="11">
        <f>IF(B33="","",RANK(B33,$B$8:$B$507)+COUNTIF(B$8:B33,B33)-1)</f>
        <v/>
      </c>
      <c r="E33" s="12">
        <f>IF(B33="","",B33/SUM($B$8:$B$507))</f>
        <v/>
      </c>
      <c r="F33" s="11">
        <f>IF(B33="","",IF(G33-E33&lt;$B$2,"A",IF(G33-E33&lt;$B$3,"B","C")))</f>
        <v/>
      </c>
      <c r="G33" s="12">
        <f>IF(B33="","",SUMIF($D$8:$D$507,"&lt;="&amp;D33,$B$8:$B$507)/SUM($B$8:$B$507))</f>
        <v/>
      </c>
    </row>
    <row r="34">
      <c r="A34" s="9" t="n"/>
      <c r="B34" s="9" t="n"/>
      <c r="C34" s="10" t="n"/>
      <c r="D34" s="11">
        <f>IF(B34="","",RANK(B34,$B$8:$B$507)+COUNTIF(B$8:B34,B34)-1)</f>
        <v/>
      </c>
      <c r="E34" s="12">
        <f>IF(B34="","",B34/SUM($B$8:$B$507))</f>
        <v/>
      </c>
      <c r="F34" s="11">
        <f>IF(B34="","",IF(G34-E34&lt;$B$2,"A",IF(G34-E34&lt;$B$3,"B","C")))</f>
        <v/>
      </c>
      <c r="G34" s="12">
        <f>IF(B34="","",SUMIF($D$8:$D$507,"&lt;="&amp;D34,$B$8:$B$507)/SUM($B$8:$B$507))</f>
        <v/>
      </c>
    </row>
    <row r="35">
      <c r="A35" s="9" t="n"/>
      <c r="B35" s="9" t="n"/>
      <c r="C35" s="10" t="n"/>
      <c r="D35" s="11">
        <f>IF(B35="","",RANK(B35,$B$8:$B$507)+COUNTIF(B$8:B35,B35)-1)</f>
        <v/>
      </c>
      <c r="E35" s="12">
        <f>IF(B35="","",B35/SUM($B$8:$B$507))</f>
        <v/>
      </c>
      <c r="F35" s="11">
        <f>IF(B35="","",IF(G35-E35&lt;$B$2,"A",IF(G35-E35&lt;$B$3,"B","C")))</f>
        <v/>
      </c>
      <c r="G35" s="12">
        <f>IF(B35="","",SUMIF($D$8:$D$507,"&lt;="&amp;D35,$B$8:$B$507)/SUM($B$8:$B$507))</f>
        <v/>
      </c>
    </row>
    <row r="36">
      <c r="A36" s="9" t="n"/>
      <c r="B36" s="9" t="n"/>
      <c r="C36" s="10" t="n"/>
      <c r="D36" s="11">
        <f>IF(B36="","",RANK(B36,$B$8:$B$507)+COUNTIF(B$8:B36,B36)-1)</f>
        <v/>
      </c>
      <c r="E36" s="12">
        <f>IF(B36="","",B36/SUM($B$8:$B$507))</f>
        <v/>
      </c>
      <c r="F36" s="11">
        <f>IF(B36="","",IF(G36-E36&lt;$B$2,"A",IF(G36-E36&lt;$B$3,"B","C")))</f>
        <v/>
      </c>
      <c r="G36" s="12">
        <f>IF(B36="","",SUMIF($D$8:$D$507,"&lt;="&amp;D36,$B$8:$B$507)/SUM($B$8:$B$507))</f>
        <v/>
      </c>
    </row>
    <row r="37">
      <c r="A37" s="9" t="n"/>
      <c r="B37" s="9" t="n"/>
      <c r="C37" s="10" t="n"/>
      <c r="D37" s="11">
        <f>IF(B37="","",RANK(B37,$B$8:$B$507)+COUNTIF(B$8:B37,B37)-1)</f>
        <v/>
      </c>
      <c r="E37" s="12">
        <f>IF(B37="","",B37/SUM($B$8:$B$507))</f>
        <v/>
      </c>
      <c r="F37" s="11">
        <f>IF(B37="","",IF(G37-E37&lt;$B$2,"A",IF(G37-E37&lt;$B$3,"B","C")))</f>
        <v/>
      </c>
      <c r="G37" s="12">
        <f>IF(B37="","",SUMIF($D$8:$D$507,"&lt;="&amp;D37,$B$8:$B$507)/SUM($B$8:$B$507))</f>
        <v/>
      </c>
    </row>
    <row r="38">
      <c r="A38" s="9" t="n"/>
      <c r="B38" s="9" t="n"/>
      <c r="C38" s="10" t="n"/>
      <c r="D38" s="11">
        <f>IF(B38="","",RANK(B38,$B$8:$B$507)+COUNTIF(B$8:B38,B38)-1)</f>
        <v/>
      </c>
      <c r="E38" s="12">
        <f>IF(B38="","",B38/SUM($B$8:$B$507))</f>
        <v/>
      </c>
      <c r="F38" s="11">
        <f>IF(B38="","",IF(G38-E38&lt;$B$2,"A",IF(G38-E38&lt;$B$3,"B","C")))</f>
        <v/>
      </c>
      <c r="G38" s="12">
        <f>IF(B38="","",SUMIF($D$8:$D$507,"&lt;="&amp;D38,$B$8:$B$507)/SUM($B$8:$B$507))</f>
        <v/>
      </c>
    </row>
    <row r="39">
      <c r="A39" s="9" t="n"/>
      <c r="B39" s="9" t="n"/>
      <c r="C39" s="10" t="n"/>
      <c r="D39" s="11">
        <f>IF(B39="","",RANK(B39,$B$8:$B$507)+COUNTIF(B$8:B39,B39)-1)</f>
        <v/>
      </c>
      <c r="E39" s="12">
        <f>IF(B39="","",B39/SUM($B$8:$B$507))</f>
        <v/>
      </c>
      <c r="F39" s="11">
        <f>IF(B39="","",IF(G39-E39&lt;$B$2,"A",IF(G39-E39&lt;$B$3,"B","C")))</f>
        <v/>
      </c>
      <c r="G39" s="12">
        <f>IF(B39="","",SUMIF($D$8:$D$507,"&lt;="&amp;D39,$B$8:$B$507)/SUM($B$8:$B$507))</f>
        <v/>
      </c>
    </row>
    <row r="40">
      <c r="A40" s="9" t="n"/>
      <c r="B40" s="9" t="n"/>
      <c r="C40" s="10" t="n"/>
      <c r="D40" s="11">
        <f>IF(B40="","",RANK(B40,$B$8:$B$507)+COUNTIF(B$8:B40,B40)-1)</f>
        <v/>
      </c>
      <c r="E40" s="12">
        <f>IF(B40="","",B40/SUM($B$8:$B$507))</f>
        <v/>
      </c>
      <c r="F40" s="11">
        <f>IF(B40="","",IF(G40-E40&lt;$B$2,"A",IF(G40-E40&lt;$B$3,"B","C")))</f>
        <v/>
      </c>
      <c r="G40" s="12">
        <f>IF(B40="","",SUMIF($D$8:$D$507,"&lt;="&amp;D40,$B$8:$B$507)/SUM($B$8:$B$507))</f>
        <v/>
      </c>
    </row>
    <row r="41">
      <c r="A41" s="9" t="n"/>
      <c r="B41" s="9" t="n"/>
      <c r="C41" s="10" t="n"/>
      <c r="D41" s="11">
        <f>IF(B41="","",RANK(B41,$B$8:$B$507)+COUNTIF(B$8:B41,B41)-1)</f>
        <v/>
      </c>
      <c r="E41" s="12">
        <f>IF(B41="","",B41/SUM($B$8:$B$507))</f>
        <v/>
      </c>
      <c r="F41" s="11">
        <f>IF(B41="","",IF(G41-E41&lt;$B$2,"A",IF(G41-E41&lt;$B$3,"B","C")))</f>
        <v/>
      </c>
      <c r="G41" s="12">
        <f>IF(B41="","",SUMIF($D$8:$D$507,"&lt;="&amp;D41,$B$8:$B$507)/SUM($B$8:$B$507))</f>
        <v/>
      </c>
    </row>
    <row r="42">
      <c r="A42" s="9" t="n"/>
      <c r="B42" s="9" t="n"/>
      <c r="C42" s="10" t="n"/>
      <c r="D42" s="11">
        <f>IF(B42="","",RANK(B42,$B$8:$B$507)+COUNTIF(B$8:B42,B42)-1)</f>
        <v/>
      </c>
      <c r="E42" s="12">
        <f>IF(B42="","",B42/SUM($B$8:$B$507))</f>
        <v/>
      </c>
      <c r="F42" s="11">
        <f>IF(B42="","",IF(G42-E42&lt;$B$2,"A",IF(G42-E42&lt;$B$3,"B","C")))</f>
        <v/>
      </c>
      <c r="G42" s="12">
        <f>IF(B42="","",SUMIF($D$8:$D$507,"&lt;="&amp;D42,$B$8:$B$507)/SUM($B$8:$B$507))</f>
        <v/>
      </c>
    </row>
    <row r="43">
      <c r="A43" s="9" t="n"/>
      <c r="B43" s="9" t="n"/>
      <c r="C43" s="10" t="n"/>
      <c r="D43" s="11">
        <f>IF(B43="","",RANK(B43,$B$8:$B$507)+COUNTIF(B$8:B43,B43)-1)</f>
        <v/>
      </c>
      <c r="E43" s="12">
        <f>IF(B43="","",B43/SUM($B$8:$B$507))</f>
        <v/>
      </c>
      <c r="F43" s="11">
        <f>IF(B43="","",IF(G43-E43&lt;$B$2,"A",IF(G43-E43&lt;$B$3,"B","C")))</f>
        <v/>
      </c>
      <c r="G43" s="12">
        <f>IF(B43="","",SUMIF($D$8:$D$507,"&lt;="&amp;D43,$B$8:$B$507)/SUM($B$8:$B$507))</f>
        <v/>
      </c>
    </row>
    <row r="44">
      <c r="A44" s="9" t="n"/>
      <c r="B44" s="9" t="n"/>
      <c r="C44" s="10" t="n"/>
      <c r="D44" s="11">
        <f>IF(B44="","",RANK(B44,$B$8:$B$507)+COUNTIF(B$8:B44,B44)-1)</f>
        <v/>
      </c>
      <c r="E44" s="12">
        <f>IF(B44="","",B44/SUM($B$8:$B$507))</f>
        <v/>
      </c>
      <c r="F44" s="11">
        <f>IF(B44="","",IF(G44-E44&lt;$B$2,"A",IF(G44-E44&lt;$B$3,"B","C")))</f>
        <v/>
      </c>
      <c r="G44" s="12">
        <f>IF(B44="","",SUMIF($D$8:$D$507,"&lt;="&amp;D44,$B$8:$B$507)/SUM($B$8:$B$507))</f>
        <v/>
      </c>
    </row>
    <row r="45">
      <c r="A45" s="9" t="n"/>
      <c r="B45" s="9" t="n"/>
      <c r="C45" s="10" t="n"/>
      <c r="D45" s="11">
        <f>IF(B45="","",RANK(B45,$B$8:$B$507)+COUNTIF(B$8:B45,B45)-1)</f>
        <v/>
      </c>
      <c r="E45" s="12">
        <f>IF(B45="","",B45/SUM($B$8:$B$507))</f>
        <v/>
      </c>
      <c r="F45" s="11">
        <f>IF(B45="","",IF(G45-E45&lt;$B$2,"A",IF(G45-E45&lt;$B$3,"B","C")))</f>
        <v/>
      </c>
      <c r="G45" s="12">
        <f>IF(B45="","",SUMIF($D$8:$D$507,"&lt;="&amp;D45,$B$8:$B$507)/SUM($B$8:$B$507))</f>
        <v/>
      </c>
    </row>
    <row r="46">
      <c r="A46" s="9" t="n"/>
      <c r="B46" s="9" t="n"/>
      <c r="C46" s="10" t="n"/>
      <c r="D46" s="11">
        <f>IF(B46="","",RANK(B46,$B$8:$B$507)+COUNTIF(B$8:B46,B46)-1)</f>
        <v/>
      </c>
      <c r="E46" s="12">
        <f>IF(B46="","",B46/SUM($B$8:$B$507))</f>
        <v/>
      </c>
      <c r="F46" s="11">
        <f>IF(B46="","",IF(G46-E46&lt;$B$2,"A",IF(G46-E46&lt;$B$3,"B","C")))</f>
        <v/>
      </c>
      <c r="G46" s="12">
        <f>IF(B46="","",SUMIF($D$8:$D$507,"&lt;="&amp;D46,$B$8:$B$507)/SUM($B$8:$B$507))</f>
        <v/>
      </c>
    </row>
    <row r="47">
      <c r="A47" s="9" t="n"/>
      <c r="B47" s="9" t="n"/>
      <c r="C47" s="10" t="n"/>
      <c r="D47" s="11">
        <f>IF(B47="","",RANK(B47,$B$8:$B$507)+COUNTIF(B$8:B47,B47)-1)</f>
        <v/>
      </c>
      <c r="E47" s="12">
        <f>IF(B47="","",B47/SUM($B$8:$B$507))</f>
        <v/>
      </c>
      <c r="F47" s="11">
        <f>IF(B47="","",IF(G47-E47&lt;$B$2,"A",IF(G47-E47&lt;$B$3,"B","C")))</f>
        <v/>
      </c>
      <c r="G47" s="12">
        <f>IF(B47="","",SUMIF($D$8:$D$507,"&lt;="&amp;D47,$B$8:$B$507)/SUM($B$8:$B$507))</f>
        <v/>
      </c>
    </row>
    <row r="48">
      <c r="A48" s="9" t="n"/>
      <c r="B48" s="9" t="n"/>
      <c r="C48" s="10" t="n"/>
      <c r="D48" s="11">
        <f>IF(B48="","",RANK(B48,$B$8:$B$507)+COUNTIF(B$8:B48,B48)-1)</f>
        <v/>
      </c>
      <c r="E48" s="12">
        <f>IF(B48="","",B48/SUM($B$8:$B$507))</f>
        <v/>
      </c>
      <c r="F48" s="11">
        <f>IF(B48="","",IF(G48-E48&lt;$B$2,"A",IF(G48-E48&lt;$B$3,"B","C")))</f>
        <v/>
      </c>
      <c r="G48" s="12">
        <f>IF(B48="","",SUMIF($D$8:$D$507,"&lt;="&amp;D48,$B$8:$B$507)/SUM($B$8:$B$507))</f>
        <v/>
      </c>
    </row>
    <row r="49">
      <c r="A49" s="9" t="n"/>
      <c r="B49" s="9" t="n"/>
      <c r="C49" s="10" t="n"/>
      <c r="D49" s="11">
        <f>IF(B49="","",RANK(B49,$B$8:$B$507)+COUNTIF(B$8:B49,B49)-1)</f>
        <v/>
      </c>
      <c r="E49" s="12">
        <f>IF(B49="","",B49/SUM($B$8:$B$507))</f>
        <v/>
      </c>
      <c r="F49" s="11">
        <f>IF(B49="","",IF(G49-E49&lt;$B$2,"A",IF(G49-E49&lt;$B$3,"B","C")))</f>
        <v/>
      </c>
      <c r="G49" s="12">
        <f>IF(B49="","",SUMIF($D$8:$D$507,"&lt;="&amp;D49,$B$8:$B$507)/SUM($B$8:$B$507))</f>
        <v/>
      </c>
    </row>
    <row r="50">
      <c r="A50" s="9" t="n"/>
      <c r="B50" s="9" t="n"/>
      <c r="C50" s="10" t="n"/>
      <c r="D50" s="11">
        <f>IF(B50="","",RANK(B50,$B$8:$B$507)+COUNTIF(B$8:B50,B50)-1)</f>
        <v/>
      </c>
      <c r="E50" s="12">
        <f>IF(B50="","",B50/SUM($B$8:$B$507))</f>
        <v/>
      </c>
      <c r="F50" s="11">
        <f>IF(B50="","",IF(G50-E50&lt;$B$2,"A",IF(G50-E50&lt;$B$3,"B","C")))</f>
        <v/>
      </c>
      <c r="G50" s="12">
        <f>IF(B50="","",SUMIF($D$8:$D$507,"&lt;="&amp;D50,$B$8:$B$507)/SUM($B$8:$B$507))</f>
        <v/>
      </c>
    </row>
    <row r="51">
      <c r="A51" s="9" t="n"/>
      <c r="B51" s="9" t="n"/>
      <c r="C51" s="10" t="n"/>
      <c r="D51" s="11">
        <f>IF(B51="","",RANK(B51,$B$8:$B$507)+COUNTIF(B$8:B51,B51)-1)</f>
        <v/>
      </c>
      <c r="E51" s="12">
        <f>IF(B51="","",B51/SUM($B$8:$B$507))</f>
        <v/>
      </c>
      <c r="F51" s="11">
        <f>IF(B51="","",IF(G51-E51&lt;$B$2,"A",IF(G51-E51&lt;$B$3,"B","C")))</f>
        <v/>
      </c>
      <c r="G51" s="12">
        <f>IF(B51="","",SUMIF($D$8:$D$507,"&lt;="&amp;D51,$B$8:$B$507)/SUM($B$8:$B$507))</f>
        <v/>
      </c>
    </row>
    <row r="52">
      <c r="A52" s="9" t="n"/>
      <c r="B52" s="9" t="n"/>
      <c r="C52" s="10" t="n"/>
      <c r="D52" s="11">
        <f>IF(B52="","",RANK(B52,$B$8:$B$507)+COUNTIF(B$8:B52,B52)-1)</f>
        <v/>
      </c>
      <c r="E52" s="12">
        <f>IF(B52="","",B52/SUM($B$8:$B$507))</f>
        <v/>
      </c>
      <c r="F52" s="11">
        <f>IF(B52="","",IF(G52-E52&lt;$B$2,"A",IF(G52-E52&lt;$B$3,"B","C")))</f>
        <v/>
      </c>
      <c r="G52" s="12">
        <f>IF(B52="","",SUMIF($D$8:$D$507,"&lt;="&amp;D52,$B$8:$B$507)/SUM($B$8:$B$507))</f>
        <v/>
      </c>
    </row>
    <row r="53">
      <c r="A53" s="9" t="n"/>
      <c r="B53" s="9" t="n"/>
      <c r="C53" s="10" t="n"/>
      <c r="D53" s="11">
        <f>IF(B53="","",RANK(B53,$B$8:$B$507)+COUNTIF(B$8:B53,B53)-1)</f>
        <v/>
      </c>
      <c r="E53" s="12">
        <f>IF(B53="","",B53/SUM($B$8:$B$507))</f>
        <v/>
      </c>
      <c r="F53" s="11">
        <f>IF(B53="","",IF(G53-E53&lt;$B$2,"A",IF(G53-E53&lt;$B$3,"B","C")))</f>
        <v/>
      </c>
      <c r="G53" s="12">
        <f>IF(B53="","",SUMIF($D$8:$D$507,"&lt;="&amp;D53,$B$8:$B$507)/SUM($B$8:$B$507))</f>
        <v/>
      </c>
    </row>
    <row r="54">
      <c r="A54" s="9" t="n"/>
      <c r="B54" s="9" t="n"/>
      <c r="C54" s="10" t="n"/>
      <c r="D54" s="11">
        <f>IF(B54="","",RANK(B54,$B$8:$B$507)+COUNTIF(B$8:B54,B54)-1)</f>
        <v/>
      </c>
      <c r="E54" s="12">
        <f>IF(B54="","",B54/SUM($B$8:$B$507))</f>
        <v/>
      </c>
      <c r="F54" s="11">
        <f>IF(B54="","",IF(G54-E54&lt;$B$2,"A",IF(G54-E54&lt;$B$3,"B","C")))</f>
        <v/>
      </c>
      <c r="G54" s="12">
        <f>IF(B54="","",SUMIF($D$8:$D$507,"&lt;="&amp;D54,$B$8:$B$507)/SUM($B$8:$B$507))</f>
        <v/>
      </c>
    </row>
    <row r="55">
      <c r="A55" s="9" t="n"/>
      <c r="B55" s="9" t="n"/>
      <c r="C55" s="10" t="n"/>
      <c r="D55" s="11">
        <f>IF(B55="","",RANK(B55,$B$8:$B$507)+COUNTIF(B$8:B55,B55)-1)</f>
        <v/>
      </c>
      <c r="E55" s="12">
        <f>IF(B55="","",B55/SUM($B$8:$B$507))</f>
        <v/>
      </c>
      <c r="F55" s="11">
        <f>IF(B55="","",IF(G55-E55&lt;$B$2,"A",IF(G55-E55&lt;$B$3,"B","C")))</f>
        <v/>
      </c>
      <c r="G55" s="12">
        <f>IF(B55="","",SUMIF($D$8:$D$507,"&lt;="&amp;D55,$B$8:$B$507)/SUM($B$8:$B$507))</f>
        <v/>
      </c>
    </row>
    <row r="56">
      <c r="A56" s="9" t="n"/>
      <c r="B56" s="9" t="n"/>
      <c r="C56" s="10" t="n"/>
      <c r="D56" s="11">
        <f>IF(B56="","",RANK(B56,$B$8:$B$507)+COUNTIF(B$8:B56,B56)-1)</f>
        <v/>
      </c>
      <c r="E56" s="12">
        <f>IF(B56="","",B56/SUM($B$8:$B$507))</f>
        <v/>
      </c>
      <c r="F56" s="11">
        <f>IF(B56="","",IF(G56-E56&lt;$B$2,"A",IF(G56-E56&lt;$B$3,"B","C")))</f>
        <v/>
      </c>
      <c r="G56" s="12">
        <f>IF(B56="","",SUMIF($D$8:$D$507,"&lt;="&amp;D56,$B$8:$B$507)/SUM($B$8:$B$507))</f>
        <v/>
      </c>
    </row>
    <row r="57">
      <c r="A57" s="9" t="n"/>
      <c r="B57" s="9" t="n"/>
      <c r="C57" s="10" t="n"/>
      <c r="D57" s="11">
        <f>IF(B57="","",RANK(B57,$B$8:$B$507)+COUNTIF(B$8:B57,B57)-1)</f>
        <v/>
      </c>
      <c r="E57" s="12">
        <f>IF(B57="","",B57/SUM($B$8:$B$507))</f>
        <v/>
      </c>
      <c r="F57" s="11">
        <f>IF(B57="","",IF(G57-E57&lt;$B$2,"A",IF(G57-E57&lt;$B$3,"B","C")))</f>
        <v/>
      </c>
      <c r="G57" s="12">
        <f>IF(B57="","",SUMIF($D$8:$D$507,"&lt;="&amp;D57,$B$8:$B$507)/SUM($B$8:$B$507))</f>
        <v/>
      </c>
    </row>
    <row r="58">
      <c r="A58" s="9" t="n"/>
      <c r="B58" s="9" t="n"/>
      <c r="C58" s="10" t="n"/>
      <c r="D58" s="11">
        <f>IF(B58="","",RANK(B58,$B$8:$B$507)+COUNTIF(B$8:B58,B58)-1)</f>
        <v/>
      </c>
      <c r="E58" s="12">
        <f>IF(B58="","",B58/SUM($B$8:$B$507))</f>
        <v/>
      </c>
      <c r="F58" s="11">
        <f>IF(B58="","",IF(G58-E58&lt;$B$2,"A",IF(G58-E58&lt;$B$3,"B","C")))</f>
        <v/>
      </c>
      <c r="G58" s="12">
        <f>IF(B58="","",SUMIF($D$8:$D$507,"&lt;="&amp;D58,$B$8:$B$507)/SUM($B$8:$B$507))</f>
        <v/>
      </c>
    </row>
    <row r="59">
      <c r="A59" s="9" t="n"/>
      <c r="B59" s="9" t="n"/>
      <c r="C59" s="10" t="n"/>
      <c r="D59" s="11">
        <f>IF(B59="","",RANK(B59,$B$8:$B$507)+COUNTIF(B$8:B59,B59)-1)</f>
        <v/>
      </c>
      <c r="E59" s="12">
        <f>IF(B59="","",B59/SUM($B$8:$B$507))</f>
        <v/>
      </c>
      <c r="F59" s="11">
        <f>IF(B59="","",IF(G59-E59&lt;$B$2,"A",IF(G59-E59&lt;$B$3,"B","C")))</f>
        <v/>
      </c>
      <c r="G59" s="12">
        <f>IF(B59="","",SUMIF($D$8:$D$507,"&lt;="&amp;D59,$B$8:$B$507)/SUM($B$8:$B$507))</f>
        <v/>
      </c>
    </row>
    <row r="60">
      <c r="A60" s="9" t="n"/>
      <c r="B60" s="9" t="n"/>
      <c r="C60" s="10" t="n"/>
      <c r="D60" s="11">
        <f>IF(B60="","",RANK(B60,$B$8:$B$507)+COUNTIF(B$8:B60,B60)-1)</f>
        <v/>
      </c>
      <c r="E60" s="12">
        <f>IF(B60="","",B60/SUM($B$8:$B$507))</f>
        <v/>
      </c>
      <c r="F60" s="11">
        <f>IF(B60="","",IF(G60-E60&lt;$B$2,"A",IF(G60-E60&lt;$B$3,"B","C")))</f>
        <v/>
      </c>
      <c r="G60" s="12">
        <f>IF(B60="","",SUMIF($D$8:$D$507,"&lt;="&amp;D60,$B$8:$B$507)/SUM($B$8:$B$507))</f>
        <v/>
      </c>
    </row>
    <row r="61">
      <c r="A61" s="9" t="n"/>
      <c r="B61" s="9" t="n"/>
      <c r="C61" s="10" t="n"/>
      <c r="D61" s="11">
        <f>IF(B61="","",RANK(B61,$B$8:$B$507)+COUNTIF(B$8:B61,B61)-1)</f>
        <v/>
      </c>
      <c r="E61" s="12">
        <f>IF(B61="","",B61/SUM($B$8:$B$507))</f>
        <v/>
      </c>
      <c r="F61" s="11">
        <f>IF(B61="","",IF(G61-E61&lt;$B$2,"A",IF(G61-E61&lt;$B$3,"B","C")))</f>
        <v/>
      </c>
      <c r="G61" s="12">
        <f>IF(B61="","",SUMIF($D$8:$D$507,"&lt;="&amp;D61,$B$8:$B$507)/SUM($B$8:$B$507))</f>
        <v/>
      </c>
    </row>
    <row r="62">
      <c r="A62" s="9" t="n"/>
      <c r="B62" s="9" t="n"/>
      <c r="C62" s="10" t="n"/>
      <c r="D62" s="11">
        <f>IF(B62="","",RANK(B62,$B$8:$B$507)+COUNTIF(B$8:B62,B62)-1)</f>
        <v/>
      </c>
      <c r="E62" s="12">
        <f>IF(B62="","",B62/SUM($B$8:$B$507))</f>
        <v/>
      </c>
      <c r="F62" s="11">
        <f>IF(B62="","",IF(G62-E62&lt;$B$2,"A",IF(G62-E62&lt;$B$3,"B","C")))</f>
        <v/>
      </c>
      <c r="G62" s="12">
        <f>IF(B62="","",SUMIF($D$8:$D$507,"&lt;="&amp;D62,$B$8:$B$507)/SUM($B$8:$B$507))</f>
        <v/>
      </c>
    </row>
    <row r="63">
      <c r="A63" s="9" t="n"/>
      <c r="B63" s="9" t="n"/>
      <c r="C63" s="10" t="n"/>
      <c r="D63" s="11">
        <f>IF(B63="","",RANK(B63,$B$8:$B$507)+COUNTIF(B$8:B63,B63)-1)</f>
        <v/>
      </c>
      <c r="E63" s="12">
        <f>IF(B63="","",B63/SUM($B$8:$B$507))</f>
        <v/>
      </c>
      <c r="F63" s="11">
        <f>IF(B63="","",IF(G63-E63&lt;$B$2,"A",IF(G63-E63&lt;$B$3,"B","C")))</f>
        <v/>
      </c>
      <c r="G63" s="12">
        <f>IF(B63="","",SUMIF($D$8:$D$507,"&lt;="&amp;D63,$B$8:$B$507)/SUM($B$8:$B$507))</f>
        <v/>
      </c>
    </row>
    <row r="64">
      <c r="A64" s="9" t="n"/>
      <c r="B64" s="9" t="n"/>
      <c r="C64" s="10" t="n"/>
      <c r="D64" s="11">
        <f>IF(B64="","",RANK(B64,$B$8:$B$507)+COUNTIF(B$8:B64,B64)-1)</f>
        <v/>
      </c>
      <c r="E64" s="12">
        <f>IF(B64="","",B64/SUM($B$8:$B$507))</f>
        <v/>
      </c>
      <c r="F64" s="11">
        <f>IF(B64="","",IF(G64-E64&lt;$B$2,"A",IF(G64-E64&lt;$B$3,"B","C")))</f>
        <v/>
      </c>
      <c r="G64" s="12">
        <f>IF(B64="","",SUMIF($D$8:$D$507,"&lt;="&amp;D64,$B$8:$B$507)/SUM($B$8:$B$507))</f>
        <v/>
      </c>
    </row>
    <row r="65">
      <c r="A65" s="9" t="n"/>
      <c r="B65" s="9" t="n"/>
      <c r="C65" s="10" t="n"/>
      <c r="D65" s="11">
        <f>IF(B65="","",RANK(B65,$B$8:$B$507)+COUNTIF(B$8:B65,B65)-1)</f>
        <v/>
      </c>
      <c r="E65" s="12">
        <f>IF(B65="","",B65/SUM($B$8:$B$507))</f>
        <v/>
      </c>
      <c r="F65" s="11">
        <f>IF(B65="","",IF(G65-E65&lt;$B$2,"A",IF(G65-E65&lt;$B$3,"B","C")))</f>
        <v/>
      </c>
      <c r="G65" s="12">
        <f>IF(B65="","",SUMIF($D$8:$D$507,"&lt;="&amp;D65,$B$8:$B$507)/SUM($B$8:$B$507))</f>
        <v/>
      </c>
    </row>
    <row r="66">
      <c r="A66" s="9" t="n"/>
      <c r="B66" s="9" t="n"/>
      <c r="C66" s="10" t="n"/>
      <c r="D66" s="11">
        <f>IF(B66="","",RANK(B66,$B$8:$B$507)+COUNTIF(B$8:B66,B66)-1)</f>
        <v/>
      </c>
      <c r="E66" s="12">
        <f>IF(B66="","",B66/SUM($B$8:$B$507))</f>
        <v/>
      </c>
      <c r="F66" s="11">
        <f>IF(B66="","",IF(G66-E66&lt;$B$2,"A",IF(G66-E66&lt;$B$3,"B","C")))</f>
        <v/>
      </c>
      <c r="G66" s="12">
        <f>IF(B66="","",SUMIF($D$8:$D$507,"&lt;="&amp;D66,$B$8:$B$507)/SUM($B$8:$B$507))</f>
        <v/>
      </c>
    </row>
    <row r="67">
      <c r="A67" s="9" t="n"/>
      <c r="B67" s="9" t="n"/>
      <c r="C67" s="10" t="n"/>
      <c r="D67" s="11">
        <f>IF(B67="","",RANK(B67,$B$8:$B$507)+COUNTIF(B$8:B67,B67)-1)</f>
        <v/>
      </c>
      <c r="E67" s="12">
        <f>IF(B67="","",B67/SUM($B$8:$B$507))</f>
        <v/>
      </c>
      <c r="F67" s="11">
        <f>IF(B67="","",IF(G67-E67&lt;$B$2,"A",IF(G67-E67&lt;$B$3,"B","C")))</f>
        <v/>
      </c>
      <c r="G67" s="12">
        <f>IF(B67="","",SUMIF($D$8:$D$507,"&lt;="&amp;D67,$B$8:$B$507)/SUM($B$8:$B$507))</f>
        <v/>
      </c>
    </row>
    <row r="68">
      <c r="A68" s="9" t="n"/>
      <c r="B68" s="9" t="n"/>
      <c r="C68" s="10" t="n"/>
      <c r="D68" s="11">
        <f>IF(B68="","",RANK(B68,$B$8:$B$507)+COUNTIF(B$8:B68,B68)-1)</f>
        <v/>
      </c>
      <c r="E68" s="12">
        <f>IF(B68="","",B68/SUM($B$8:$B$507))</f>
        <v/>
      </c>
      <c r="F68" s="11">
        <f>IF(B68="","",IF(G68-E68&lt;$B$2,"A",IF(G68-E68&lt;$B$3,"B","C")))</f>
        <v/>
      </c>
      <c r="G68" s="12">
        <f>IF(B68="","",SUMIF($D$8:$D$507,"&lt;="&amp;D68,$B$8:$B$507)/SUM($B$8:$B$507))</f>
        <v/>
      </c>
    </row>
    <row r="69">
      <c r="A69" s="9" t="n"/>
      <c r="B69" s="9" t="n"/>
      <c r="C69" s="10" t="n"/>
      <c r="D69" s="11">
        <f>IF(B69="","",RANK(B69,$B$8:$B$507)+COUNTIF(B$8:B69,B69)-1)</f>
        <v/>
      </c>
      <c r="E69" s="12">
        <f>IF(B69="","",B69/SUM($B$8:$B$507))</f>
        <v/>
      </c>
      <c r="F69" s="11">
        <f>IF(B69="","",IF(G69-E69&lt;$B$2,"A",IF(G69-E69&lt;$B$3,"B","C")))</f>
        <v/>
      </c>
      <c r="G69" s="12">
        <f>IF(B69="","",SUMIF($D$8:$D$507,"&lt;="&amp;D69,$B$8:$B$507)/SUM($B$8:$B$507))</f>
        <v/>
      </c>
    </row>
    <row r="70">
      <c r="A70" s="9" t="n"/>
      <c r="B70" s="9" t="n"/>
      <c r="C70" s="10" t="n"/>
      <c r="D70" s="11">
        <f>IF(B70="","",RANK(B70,$B$8:$B$507)+COUNTIF(B$8:B70,B70)-1)</f>
        <v/>
      </c>
      <c r="E70" s="12">
        <f>IF(B70="","",B70/SUM($B$8:$B$507))</f>
        <v/>
      </c>
      <c r="F70" s="11">
        <f>IF(B70="","",IF(G70-E70&lt;$B$2,"A",IF(G70-E70&lt;$B$3,"B","C")))</f>
        <v/>
      </c>
      <c r="G70" s="12">
        <f>IF(B70="","",SUMIF($D$8:$D$507,"&lt;="&amp;D70,$B$8:$B$507)/SUM($B$8:$B$507))</f>
        <v/>
      </c>
    </row>
    <row r="71">
      <c r="A71" s="9" t="n"/>
      <c r="B71" s="9" t="n"/>
      <c r="C71" s="10" t="n"/>
      <c r="D71" s="11">
        <f>IF(B71="","",RANK(B71,$B$8:$B$507)+COUNTIF(B$8:B71,B71)-1)</f>
        <v/>
      </c>
      <c r="E71" s="12">
        <f>IF(B71="","",B71/SUM($B$8:$B$507))</f>
        <v/>
      </c>
      <c r="F71" s="11">
        <f>IF(B71="","",IF(G71-E71&lt;$B$2,"A",IF(G71-E71&lt;$B$3,"B","C")))</f>
        <v/>
      </c>
      <c r="G71" s="12">
        <f>IF(B71="","",SUMIF($D$8:$D$507,"&lt;="&amp;D71,$B$8:$B$507)/SUM($B$8:$B$507))</f>
        <v/>
      </c>
    </row>
    <row r="72">
      <c r="A72" s="9" t="n"/>
      <c r="B72" s="9" t="n"/>
      <c r="C72" s="10" t="n"/>
      <c r="D72" s="11">
        <f>IF(B72="","",RANK(B72,$B$8:$B$507)+COUNTIF(B$8:B72,B72)-1)</f>
        <v/>
      </c>
      <c r="E72" s="12">
        <f>IF(B72="","",B72/SUM($B$8:$B$507))</f>
        <v/>
      </c>
      <c r="F72" s="11">
        <f>IF(B72="","",IF(G72-E72&lt;$B$2,"A",IF(G72-E72&lt;$B$3,"B","C")))</f>
        <v/>
      </c>
      <c r="G72" s="12">
        <f>IF(B72="","",SUMIF($D$8:$D$507,"&lt;="&amp;D72,$B$8:$B$507)/SUM($B$8:$B$507))</f>
        <v/>
      </c>
    </row>
    <row r="73">
      <c r="A73" s="9" t="n"/>
      <c r="B73" s="9" t="n"/>
      <c r="C73" s="10" t="n"/>
      <c r="D73" s="11">
        <f>IF(B73="","",RANK(B73,$B$8:$B$507)+COUNTIF(B$8:B73,B73)-1)</f>
        <v/>
      </c>
      <c r="E73" s="12">
        <f>IF(B73="","",B73/SUM($B$8:$B$507))</f>
        <v/>
      </c>
      <c r="F73" s="11">
        <f>IF(B73="","",IF(G73-E73&lt;$B$2,"A",IF(G73-E73&lt;$B$3,"B","C")))</f>
        <v/>
      </c>
      <c r="G73" s="12">
        <f>IF(B73="","",SUMIF($D$8:$D$507,"&lt;="&amp;D73,$B$8:$B$507)/SUM($B$8:$B$507))</f>
        <v/>
      </c>
    </row>
    <row r="74">
      <c r="A74" s="9" t="n"/>
      <c r="B74" s="9" t="n"/>
      <c r="C74" s="10" t="n"/>
      <c r="D74" s="11">
        <f>IF(B74="","",RANK(B74,$B$8:$B$507)+COUNTIF(B$8:B74,B74)-1)</f>
        <v/>
      </c>
      <c r="E74" s="12">
        <f>IF(B74="","",B74/SUM($B$8:$B$507))</f>
        <v/>
      </c>
      <c r="F74" s="11">
        <f>IF(B74="","",IF(G74-E74&lt;$B$2,"A",IF(G74-E74&lt;$B$3,"B","C")))</f>
        <v/>
      </c>
      <c r="G74" s="12">
        <f>IF(B74="","",SUMIF($D$8:$D$507,"&lt;="&amp;D74,$B$8:$B$507)/SUM($B$8:$B$507))</f>
        <v/>
      </c>
    </row>
    <row r="75">
      <c r="A75" s="9" t="n"/>
      <c r="B75" s="9" t="n"/>
      <c r="C75" s="10" t="n"/>
      <c r="D75" s="11">
        <f>IF(B75="","",RANK(B75,$B$8:$B$507)+COUNTIF(B$8:B75,B75)-1)</f>
        <v/>
      </c>
      <c r="E75" s="12">
        <f>IF(B75="","",B75/SUM($B$8:$B$507))</f>
        <v/>
      </c>
      <c r="F75" s="11">
        <f>IF(B75="","",IF(G75-E75&lt;$B$2,"A",IF(G75-E75&lt;$B$3,"B","C")))</f>
        <v/>
      </c>
      <c r="G75" s="12">
        <f>IF(B75="","",SUMIF($D$8:$D$507,"&lt;="&amp;D75,$B$8:$B$507)/SUM($B$8:$B$507))</f>
        <v/>
      </c>
    </row>
    <row r="76">
      <c r="A76" s="9" t="n"/>
      <c r="B76" s="9" t="n"/>
      <c r="C76" s="10" t="n"/>
      <c r="D76" s="11">
        <f>IF(B76="","",RANK(B76,$B$8:$B$507)+COUNTIF(B$8:B76,B76)-1)</f>
        <v/>
      </c>
      <c r="E76" s="12">
        <f>IF(B76="","",B76/SUM($B$8:$B$507))</f>
        <v/>
      </c>
      <c r="F76" s="11">
        <f>IF(B76="","",IF(G76-E76&lt;$B$2,"A",IF(G76-E76&lt;$B$3,"B","C")))</f>
        <v/>
      </c>
      <c r="G76" s="12">
        <f>IF(B76="","",SUMIF($D$8:$D$507,"&lt;="&amp;D76,$B$8:$B$507)/SUM($B$8:$B$507))</f>
        <v/>
      </c>
    </row>
    <row r="77">
      <c r="A77" s="9" t="n"/>
      <c r="B77" s="9" t="n"/>
      <c r="C77" s="10" t="n"/>
      <c r="D77" s="11">
        <f>IF(B77="","",RANK(B77,$B$8:$B$507)+COUNTIF(B$8:B77,B77)-1)</f>
        <v/>
      </c>
      <c r="E77" s="12">
        <f>IF(B77="","",B77/SUM($B$8:$B$507))</f>
        <v/>
      </c>
      <c r="F77" s="11">
        <f>IF(B77="","",IF(G77-E77&lt;$B$2,"A",IF(G77-E77&lt;$B$3,"B","C")))</f>
        <v/>
      </c>
      <c r="G77" s="12">
        <f>IF(B77="","",SUMIF($D$8:$D$507,"&lt;="&amp;D77,$B$8:$B$507)/SUM($B$8:$B$507))</f>
        <v/>
      </c>
    </row>
    <row r="78">
      <c r="A78" s="9" t="n"/>
      <c r="B78" s="9" t="n"/>
      <c r="C78" s="10" t="n"/>
      <c r="D78" s="11">
        <f>IF(B78="","",RANK(B78,$B$8:$B$507)+COUNTIF(B$8:B78,B78)-1)</f>
        <v/>
      </c>
      <c r="E78" s="12">
        <f>IF(B78="","",B78/SUM($B$8:$B$507))</f>
        <v/>
      </c>
      <c r="F78" s="11">
        <f>IF(B78="","",IF(G78-E78&lt;$B$2,"A",IF(G78-E78&lt;$B$3,"B","C")))</f>
        <v/>
      </c>
      <c r="G78" s="12">
        <f>IF(B78="","",SUMIF($D$8:$D$507,"&lt;="&amp;D78,$B$8:$B$507)/SUM($B$8:$B$507))</f>
        <v/>
      </c>
    </row>
    <row r="79">
      <c r="A79" s="9" t="n"/>
      <c r="B79" s="9" t="n"/>
      <c r="C79" s="10" t="n"/>
      <c r="D79" s="11">
        <f>IF(B79="","",RANK(B79,$B$8:$B$507)+COUNTIF(B$8:B79,B79)-1)</f>
        <v/>
      </c>
      <c r="E79" s="12">
        <f>IF(B79="","",B79/SUM($B$8:$B$507))</f>
        <v/>
      </c>
      <c r="F79" s="11">
        <f>IF(B79="","",IF(G79-E79&lt;$B$2,"A",IF(G79-E79&lt;$B$3,"B","C")))</f>
        <v/>
      </c>
      <c r="G79" s="12">
        <f>IF(B79="","",SUMIF($D$8:$D$507,"&lt;="&amp;D79,$B$8:$B$507)/SUM($B$8:$B$507))</f>
        <v/>
      </c>
    </row>
    <row r="80">
      <c r="A80" s="9" t="n"/>
      <c r="B80" s="9" t="n"/>
      <c r="C80" s="10" t="n"/>
      <c r="D80" s="11">
        <f>IF(B80="","",RANK(B80,$B$8:$B$507)+COUNTIF(B$8:B80,B80)-1)</f>
        <v/>
      </c>
      <c r="E80" s="12">
        <f>IF(B80="","",B80/SUM($B$8:$B$507))</f>
        <v/>
      </c>
      <c r="F80" s="11">
        <f>IF(B80="","",IF(G80-E80&lt;$B$2,"A",IF(G80-E80&lt;$B$3,"B","C")))</f>
        <v/>
      </c>
      <c r="G80" s="12">
        <f>IF(B80="","",SUMIF($D$8:$D$507,"&lt;="&amp;D80,$B$8:$B$507)/SUM($B$8:$B$507))</f>
        <v/>
      </c>
    </row>
    <row r="81">
      <c r="A81" s="9" t="n"/>
      <c r="B81" s="9" t="n"/>
      <c r="C81" s="10" t="n"/>
      <c r="D81" s="11">
        <f>IF(B81="","",RANK(B81,$B$8:$B$507)+COUNTIF(B$8:B81,B81)-1)</f>
        <v/>
      </c>
      <c r="E81" s="12">
        <f>IF(B81="","",B81/SUM($B$8:$B$507))</f>
        <v/>
      </c>
      <c r="F81" s="11">
        <f>IF(B81="","",IF(G81-E81&lt;$B$2,"A",IF(G81-E81&lt;$B$3,"B","C")))</f>
        <v/>
      </c>
      <c r="G81" s="12">
        <f>IF(B81="","",SUMIF($D$8:$D$507,"&lt;="&amp;D81,$B$8:$B$507)/SUM($B$8:$B$507))</f>
        <v/>
      </c>
    </row>
    <row r="82">
      <c r="A82" s="9" t="n"/>
      <c r="B82" s="9" t="n"/>
      <c r="C82" s="10" t="n"/>
      <c r="D82" s="11">
        <f>IF(B82="","",RANK(B82,$B$8:$B$507)+COUNTIF(B$8:B82,B82)-1)</f>
        <v/>
      </c>
      <c r="E82" s="12">
        <f>IF(B82="","",B82/SUM($B$8:$B$507))</f>
        <v/>
      </c>
      <c r="F82" s="11">
        <f>IF(B82="","",IF(G82-E82&lt;$B$2,"A",IF(G82-E82&lt;$B$3,"B","C")))</f>
        <v/>
      </c>
      <c r="G82" s="12">
        <f>IF(B82="","",SUMIF($D$8:$D$507,"&lt;="&amp;D82,$B$8:$B$507)/SUM($B$8:$B$507))</f>
        <v/>
      </c>
    </row>
    <row r="83">
      <c r="A83" s="9" t="n"/>
      <c r="B83" s="9" t="n"/>
      <c r="C83" s="10" t="n"/>
      <c r="D83" s="11">
        <f>IF(B83="","",RANK(B83,$B$8:$B$507)+COUNTIF(B$8:B83,B83)-1)</f>
        <v/>
      </c>
      <c r="E83" s="12">
        <f>IF(B83="","",B83/SUM($B$8:$B$507))</f>
        <v/>
      </c>
      <c r="F83" s="11">
        <f>IF(B83="","",IF(G83-E83&lt;$B$2,"A",IF(G83-E83&lt;$B$3,"B","C")))</f>
        <v/>
      </c>
      <c r="G83" s="12">
        <f>IF(B83="","",SUMIF($D$8:$D$507,"&lt;="&amp;D83,$B$8:$B$507)/SUM($B$8:$B$507))</f>
        <v/>
      </c>
    </row>
    <row r="84">
      <c r="A84" s="9" t="n"/>
      <c r="B84" s="9" t="n"/>
      <c r="C84" s="10" t="n"/>
      <c r="D84" s="11">
        <f>IF(B84="","",RANK(B84,$B$8:$B$507)+COUNTIF(B$8:B84,B84)-1)</f>
        <v/>
      </c>
      <c r="E84" s="12">
        <f>IF(B84="","",B84/SUM($B$8:$B$507))</f>
        <v/>
      </c>
      <c r="F84" s="11">
        <f>IF(B84="","",IF(G84-E84&lt;$B$2,"A",IF(G84-E84&lt;$B$3,"B","C")))</f>
        <v/>
      </c>
      <c r="G84" s="12">
        <f>IF(B84="","",SUMIF($D$8:$D$507,"&lt;="&amp;D84,$B$8:$B$507)/SUM($B$8:$B$507))</f>
        <v/>
      </c>
    </row>
    <row r="85">
      <c r="A85" s="9" t="n"/>
      <c r="B85" s="9" t="n"/>
      <c r="C85" s="10" t="n"/>
      <c r="D85" s="11">
        <f>IF(B85="","",RANK(B85,$B$8:$B$507)+COUNTIF(B$8:B85,B85)-1)</f>
        <v/>
      </c>
      <c r="E85" s="12">
        <f>IF(B85="","",B85/SUM($B$8:$B$507))</f>
        <v/>
      </c>
      <c r="F85" s="11">
        <f>IF(B85="","",IF(G85-E85&lt;$B$2,"A",IF(G85-E85&lt;$B$3,"B","C")))</f>
        <v/>
      </c>
      <c r="G85" s="12">
        <f>IF(B85="","",SUMIF($D$8:$D$507,"&lt;="&amp;D85,$B$8:$B$507)/SUM($B$8:$B$507))</f>
        <v/>
      </c>
    </row>
    <row r="86">
      <c r="A86" s="9" t="n"/>
      <c r="B86" s="9" t="n"/>
      <c r="C86" s="10" t="n"/>
      <c r="D86" s="11">
        <f>IF(B86="","",RANK(B86,$B$8:$B$507)+COUNTIF(B$8:B86,B86)-1)</f>
        <v/>
      </c>
      <c r="E86" s="12">
        <f>IF(B86="","",B86/SUM($B$8:$B$507))</f>
        <v/>
      </c>
      <c r="F86" s="11">
        <f>IF(B86="","",IF(G86-E86&lt;$B$2,"A",IF(G86-E86&lt;$B$3,"B","C")))</f>
        <v/>
      </c>
      <c r="G86" s="12">
        <f>IF(B86="","",SUMIF($D$8:$D$507,"&lt;="&amp;D86,$B$8:$B$507)/SUM($B$8:$B$507))</f>
        <v/>
      </c>
    </row>
    <row r="87">
      <c r="A87" s="9" t="n"/>
      <c r="B87" s="9" t="n"/>
      <c r="C87" s="10" t="n"/>
      <c r="D87" s="11">
        <f>IF(B87="","",RANK(B87,$B$8:$B$507)+COUNTIF(B$8:B87,B87)-1)</f>
        <v/>
      </c>
      <c r="E87" s="12">
        <f>IF(B87="","",B87/SUM($B$8:$B$507))</f>
        <v/>
      </c>
      <c r="F87" s="11">
        <f>IF(B87="","",IF(G87-E87&lt;$B$2,"A",IF(G87-E87&lt;$B$3,"B","C")))</f>
        <v/>
      </c>
      <c r="G87" s="12">
        <f>IF(B87="","",SUMIF($D$8:$D$507,"&lt;="&amp;D87,$B$8:$B$507)/SUM($B$8:$B$507))</f>
        <v/>
      </c>
    </row>
    <row r="88">
      <c r="A88" s="9" t="n"/>
      <c r="B88" s="9" t="n"/>
      <c r="C88" s="10" t="n"/>
      <c r="D88" s="11">
        <f>IF(B88="","",RANK(B88,$B$8:$B$507)+COUNTIF(B$8:B88,B88)-1)</f>
        <v/>
      </c>
      <c r="E88" s="12">
        <f>IF(B88="","",B88/SUM($B$8:$B$507))</f>
        <v/>
      </c>
      <c r="F88" s="11">
        <f>IF(B88="","",IF(G88-E88&lt;$B$2,"A",IF(G88-E88&lt;$B$3,"B","C")))</f>
        <v/>
      </c>
      <c r="G88" s="12">
        <f>IF(B88="","",SUMIF($D$8:$D$507,"&lt;="&amp;D88,$B$8:$B$507)/SUM($B$8:$B$507))</f>
        <v/>
      </c>
    </row>
    <row r="89">
      <c r="A89" s="9" t="n"/>
      <c r="B89" s="9" t="n"/>
      <c r="C89" s="10" t="n"/>
      <c r="D89" s="11">
        <f>IF(B89="","",RANK(B89,$B$8:$B$507)+COUNTIF(B$8:B89,B89)-1)</f>
        <v/>
      </c>
      <c r="E89" s="12">
        <f>IF(B89="","",B89/SUM($B$8:$B$507))</f>
        <v/>
      </c>
      <c r="F89" s="11">
        <f>IF(B89="","",IF(G89-E89&lt;$B$2,"A",IF(G89-E89&lt;$B$3,"B","C")))</f>
        <v/>
      </c>
      <c r="G89" s="12">
        <f>IF(B89="","",SUMIF($D$8:$D$507,"&lt;="&amp;D89,$B$8:$B$507)/SUM($B$8:$B$507))</f>
        <v/>
      </c>
    </row>
    <row r="90">
      <c r="A90" s="9" t="n"/>
      <c r="B90" s="9" t="n"/>
      <c r="C90" s="10" t="n"/>
      <c r="D90" s="11">
        <f>IF(B90="","",RANK(B90,$B$8:$B$507)+COUNTIF(B$8:B90,B90)-1)</f>
        <v/>
      </c>
      <c r="E90" s="12">
        <f>IF(B90="","",B90/SUM($B$8:$B$507))</f>
        <v/>
      </c>
      <c r="F90" s="11">
        <f>IF(B90="","",IF(G90-E90&lt;$B$2,"A",IF(G90-E90&lt;$B$3,"B","C")))</f>
        <v/>
      </c>
      <c r="G90" s="12">
        <f>IF(B90="","",SUMIF($D$8:$D$507,"&lt;="&amp;D90,$B$8:$B$507)/SUM($B$8:$B$507))</f>
        <v/>
      </c>
    </row>
    <row r="91">
      <c r="A91" s="9" t="n"/>
      <c r="B91" s="9" t="n"/>
      <c r="C91" s="10" t="n"/>
      <c r="D91" s="11">
        <f>IF(B91="","",RANK(B91,$B$8:$B$507)+COUNTIF(B$8:B91,B91)-1)</f>
        <v/>
      </c>
      <c r="E91" s="12">
        <f>IF(B91="","",B91/SUM($B$8:$B$507))</f>
        <v/>
      </c>
      <c r="F91" s="11">
        <f>IF(B91="","",IF(G91-E91&lt;$B$2,"A",IF(G91-E91&lt;$B$3,"B","C")))</f>
        <v/>
      </c>
      <c r="G91" s="12">
        <f>IF(B91="","",SUMIF($D$8:$D$507,"&lt;="&amp;D91,$B$8:$B$507)/SUM($B$8:$B$507))</f>
        <v/>
      </c>
    </row>
    <row r="92">
      <c r="A92" s="9" t="n"/>
      <c r="B92" s="9" t="n"/>
      <c r="C92" s="10" t="n"/>
      <c r="D92" s="11">
        <f>IF(B92="","",RANK(B92,$B$8:$B$507)+COUNTIF(B$8:B92,B92)-1)</f>
        <v/>
      </c>
      <c r="E92" s="12">
        <f>IF(B92="","",B92/SUM($B$8:$B$507))</f>
        <v/>
      </c>
      <c r="F92" s="11">
        <f>IF(B92="","",IF(G92-E92&lt;$B$2,"A",IF(G92-E92&lt;$B$3,"B","C")))</f>
        <v/>
      </c>
      <c r="G92" s="12">
        <f>IF(B92="","",SUMIF($D$8:$D$507,"&lt;="&amp;D92,$B$8:$B$507)/SUM($B$8:$B$507))</f>
        <v/>
      </c>
    </row>
    <row r="93">
      <c r="A93" s="9" t="n"/>
      <c r="B93" s="9" t="n"/>
      <c r="C93" s="10" t="n"/>
      <c r="D93" s="11">
        <f>IF(B93="","",RANK(B93,$B$8:$B$507)+COUNTIF(B$8:B93,B93)-1)</f>
        <v/>
      </c>
      <c r="E93" s="12">
        <f>IF(B93="","",B93/SUM($B$8:$B$507))</f>
        <v/>
      </c>
      <c r="F93" s="11">
        <f>IF(B93="","",IF(G93-E93&lt;$B$2,"A",IF(G93-E93&lt;$B$3,"B","C")))</f>
        <v/>
      </c>
      <c r="G93" s="12">
        <f>IF(B93="","",SUMIF($D$8:$D$507,"&lt;="&amp;D93,$B$8:$B$507)/SUM($B$8:$B$507))</f>
        <v/>
      </c>
    </row>
    <row r="94">
      <c r="A94" s="9" t="n"/>
      <c r="B94" s="9" t="n"/>
      <c r="C94" s="10" t="n"/>
      <c r="D94" s="11">
        <f>IF(B94="","",RANK(B94,$B$8:$B$507)+COUNTIF(B$8:B94,B94)-1)</f>
        <v/>
      </c>
      <c r="E94" s="12">
        <f>IF(B94="","",B94/SUM($B$8:$B$507))</f>
        <v/>
      </c>
      <c r="F94" s="11">
        <f>IF(B94="","",IF(G94-E94&lt;$B$2,"A",IF(G94-E94&lt;$B$3,"B","C")))</f>
        <v/>
      </c>
      <c r="G94" s="12">
        <f>IF(B94="","",SUMIF($D$8:$D$507,"&lt;="&amp;D94,$B$8:$B$507)/SUM($B$8:$B$507))</f>
        <v/>
      </c>
    </row>
    <row r="95">
      <c r="A95" s="9" t="n"/>
      <c r="B95" s="9" t="n"/>
      <c r="C95" s="10" t="n"/>
      <c r="D95" s="11">
        <f>IF(B95="","",RANK(B95,$B$8:$B$507)+COUNTIF(B$8:B95,B95)-1)</f>
        <v/>
      </c>
      <c r="E95" s="12">
        <f>IF(B95="","",B95/SUM($B$8:$B$507))</f>
        <v/>
      </c>
      <c r="F95" s="11">
        <f>IF(B95="","",IF(G95-E95&lt;$B$2,"A",IF(G95-E95&lt;$B$3,"B","C")))</f>
        <v/>
      </c>
      <c r="G95" s="12">
        <f>IF(B95="","",SUMIF($D$8:$D$507,"&lt;="&amp;D95,$B$8:$B$507)/SUM($B$8:$B$507))</f>
        <v/>
      </c>
    </row>
    <row r="96">
      <c r="A96" s="9" t="n"/>
      <c r="B96" s="9" t="n"/>
      <c r="C96" s="10" t="n"/>
      <c r="D96" s="11">
        <f>IF(B96="","",RANK(B96,$B$8:$B$507)+COUNTIF(B$8:B96,B96)-1)</f>
        <v/>
      </c>
      <c r="E96" s="12">
        <f>IF(B96="","",B96/SUM($B$8:$B$507))</f>
        <v/>
      </c>
      <c r="F96" s="11">
        <f>IF(B96="","",IF(G96-E96&lt;$B$2,"A",IF(G96-E96&lt;$B$3,"B","C")))</f>
        <v/>
      </c>
      <c r="G96" s="12">
        <f>IF(B96="","",SUMIF($D$8:$D$507,"&lt;="&amp;D96,$B$8:$B$507)/SUM($B$8:$B$507))</f>
        <v/>
      </c>
    </row>
    <row r="97">
      <c r="A97" s="9" t="n"/>
      <c r="B97" s="9" t="n"/>
      <c r="C97" s="10" t="n"/>
      <c r="D97" s="11">
        <f>IF(B97="","",RANK(B97,$B$8:$B$507)+COUNTIF(B$8:B97,B97)-1)</f>
        <v/>
      </c>
      <c r="E97" s="12">
        <f>IF(B97="","",B97/SUM($B$8:$B$507))</f>
        <v/>
      </c>
      <c r="F97" s="11">
        <f>IF(B97="","",IF(G97-E97&lt;$B$2,"A",IF(G97-E97&lt;$B$3,"B","C")))</f>
        <v/>
      </c>
      <c r="G97" s="12">
        <f>IF(B97="","",SUMIF($D$8:$D$507,"&lt;="&amp;D97,$B$8:$B$507)/SUM($B$8:$B$507))</f>
        <v/>
      </c>
    </row>
    <row r="98">
      <c r="A98" s="9" t="n"/>
      <c r="B98" s="9" t="n"/>
      <c r="C98" s="10" t="n"/>
      <c r="D98" s="11">
        <f>IF(B98="","",RANK(B98,$B$8:$B$507)+COUNTIF(B$8:B98,B98)-1)</f>
        <v/>
      </c>
      <c r="E98" s="12">
        <f>IF(B98="","",B98/SUM($B$8:$B$507))</f>
        <v/>
      </c>
      <c r="F98" s="11">
        <f>IF(B98="","",IF(G98-E98&lt;$B$2,"A",IF(G98-E98&lt;$B$3,"B","C")))</f>
        <v/>
      </c>
      <c r="G98" s="12">
        <f>IF(B98="","",SUMIF($D$8:$D$507,"&lt;="&amp;D98,$B$8:$B$507)/SUM($B$8:$B$507))</f>
        <v/>
      </c>
    </row>
    <row r="99">
      <c r="A99" s="9" t="n"/>
      <c r="B99" s="9" t="n"/>
      <c r="C99" s="10" t="n"/>
      <c r="D99" s="11">
        <f>IF(B99="","",RANK(B99,$B$8:$B$507)+COUNTIF(B$8:B99,B99)-1)</f>
        <v/>
      </c>
      <c r="E99" s="12">
        <f>IF(B99="","",B99/SUM($B$8:$B$507))</f>
        <v/>
      </c>
      <c r="F99" s="11">
        <f>IF(B99="","",IF(G99-E99&lt;$B$2,"A",IF(G99-E99&lt;$B$3,"B","C")))</f>
        <v/>
      </c>
      <c r="G99" s="12">
        <f>IF(B99="","",SUMIF($D$8:$D$507,"&lt;="&amp;D99,$B$8:$B$507)/SUM($B$8:$B$507))</f>
        <v/>
      </c>
    </row>
    <row r="100">
      <c r="A100" s="9" t="n"/>
      <c r="B100" s="9" t="n"/>
      <c r="C100" s="10" t="n"/>
      <c r="D100" s="11">
        <f>IF(B100="","",RANK(B100,$B$8:$B$507)+COUNTIF(B$8:B100,B100)-1)</f>
        <v/>
      </c>
      <c r="E100" s="12">
        <f>IF(B100="","",B100/SUM($B$8:$B$507))</f>
        <v/>
      </c>
      <c r="F100" s="11">
        <f>IF(B100="","",IF(G100-E100&lt;$B$2,"A",IF(G100-E100&lt;$B$3,"B","C")))</f>
        <v/>
      </c>
      <c r="G100" s="12">
        <f>IF(B100="","",SUMIF($D$8:$D$507,"&lt;="&amp;D100,$B$8:$B$507)/SUM($B$8:$B$507))</f>
        <v/>
      </c>
    </row>
    <row r="101">
      <c r="A101" s="9" t="n"/>
      <c r="B101" s="9" t="n"/>
      <c r="C101" s="10" t="n"/>
      <c r="D101" s="11">
        <f>IF(B101="","",RANK(B101,$B$8:$B$507)+COUNTIF(B$8:B101,B101)-1)</f>
        <v/>
      </c>
      <c r="E101" s="12">
        <f>IF(B101="","",B101/SUM($B$8:$B$507))</f>
        <v/>
      </c>
      <c r="F101" s="11">
        <f>IF(B101="","",IF(G101-E101&lt;$B$2,"A",IF(G101-E101&lt;$B$3,"B","C")))</f>
        <v/>
      </c>
      <c r="G101" s="12">
        <f>IF(B101="","",SUMIF($D$8:$D$507,"&lt;="&amp;D101,$B$8:$B$507)/SUM($B$8:$B$507))</f>
        <v/>
      </c>
    </row>
    <row r="102">
      <c r="A102" s="9" t="n"/>
      <c r="B102" s="9" t="n"/>
      <c r="C102" s="10" t="n"/>
      <c r="D102" s="11">
        <f>IF(B102="","",RANK(B102,$B$8:$B$507)+COUNTIF(B$8:B102,B102)-1)</f>
        <v/>
      </c>
      <c r="E102" s="12">
        <f>IF(B102="","",B102/SUM($B$8:$B$507))</f>
        <v/>
      </c>
      <c r="F102" s="11">
        <f>IF(B102="","",IF(G102-E102&lt;$B$2,"A",IF(G102-E102&lt;$B$3,"B","C")))</f>
        <v/>
      </c>
      <c r="G102" s="12">
        <f>IF(B102="","",SUMIF($D$8:$D$507,"&lt;="&amp;D102,$B$8:$B$507)/SUM($B$8:$B$507))</f>
        <v/>
      </c>
    </row>
    <row r="103">
      <c r="A103" s="9" t="n"/>
      <c r="B103" s="9" t="n"/>
      <c r="C103" s="10" t="n"/>
      <c r="D103" s="11">
        <f>IF(B103="","",RANK(B103,$B$8:$B$507)+COUNTIF(B$8:B103,B103)-1)</f>
        <v/>
      </c>
      <c r="E103" s="12">
        <f>IF(B103="","",B103/SUM($B$8:$B$507))</f>
        <v/>
      </c>
      <c r="F103" s="11">
        <f>IF(B103="","",IF(G103-E103&lt;$B$2,"A",IF(G103-E103&lt;$B$3,"B","C")))</f>
        <v/>
      </c>
      <c r="G103" s="12">
        <f>IF(B103="","",SUMIF($D$8:$D$507,"&lt;="&amp;D103,$B$8:$B$507)/SUM($B$8:$B$507))</f>
        <v/>
      </c>
    </row>
    <row r="104">
      <c r="A104" s="9" t="n"/>
      <c r="B104" s="9" t="n"/>
      <c r="C104" s="10" t="n"/>
      <c r="D104" s="11">
        <f>IF(B104="","",RANK(B104,$B$8:$B$507)+COUNTIF(B$8:B104,B104)-1)</f>
        <v/>
      </c>
      <c r="E104" s="12">
        <f>IF(B104="","",B104/SUM($B$8:$B$507))</f>
        <v/>
      </c>
      <c r="F104" s="11">
        <f>IF(B104="","",IF(G104-E104&lt;$B$2,"A",IF(G104-E104&lt;$B$3,"B","C")))</f>
        <v/>
      </c>
      <c r="G104" s="12">
        <f>IF(B104="","",SUMIF($D$8:$D$507,"&lt;="&amp;D104,$B$8:$B$507)/SUM($B$8:$B$507))</f>
        <v/>
      </c>
    </row>
    <row r="105">
      <c r="A105" s="9" t="n"/>
      <c r="B105" s="9" t="n"/>
      <c r="C105" s="10" t="n"/>
      <c r="D105" s="11">
        <f>IF(B105="","",RANK(B105,$B$8:$B$507)+COUNTIF(B$8:B105,B105)-1)</f>
        <v/>
      </c>
      <c r="E105" s="12">
        <f>IF(B105="","",B105/SUM($B$8:$B$507))</f>
        <v/>
      </c>
      <c r="F105" s="11">
        <f>IF(B105="","",IF(G105-E105&lt;$B$2,"A",IF(G105-E105&lt;$B$3,"B","C")))</f>
        <v/>
      </c>
      <c r="G105" s="12">
        <f>IF(B105="","",SUMIF($D$8:$D$507,"&lt;="&amp;D105,$B$8:$B$507)/SUM($B$8:$B$507))</f>
        <v/>
      </c>
    </row>
    <row r="106">
      <c r="A106" s="9" t="n"/>
      <c r="B106" s="9" t="n"/>
      <c r="C106" s="10" t="n"/>
      <c r="D106" s="11">
        <f>IF(B106="","",RANK(B106,$B$8:$B$507)+COUNTIF(B$8:B106,B106)-1)</f>
        <v/>
      </c>
      <c r="E106" s="12">
        <f>IF(B106="","",B106/SUM($B$8:$B$507))</f>
        <v/>
      </c>
      <c r="F106" s="11">
        <f>IF(B106="","",IF(G106-E106&lt;$B$2,"A",IF(G106-E106&lt;$B$3,"B","C")))</f>
        <v/>
      </c>
      <c r="G106" s="12">
        <f>IF(B106="","",SUMIF($D$8:$D$507,"&lt;="&amp;D106,$B$8:$B$507)/SUM($B$8:$B$507))</f>
        <v/>
      </c>
    </row>
    <row r="107">
      <c r="A107" s="9" t="n"/>
      <c r="B107" s="9" t="n"/>
      <c r="C107" s="10" t="n"/>
      <c r="D107" s="11">
        <f>IF(B107="","",RANK(B107,$B$8:$B$507)+COUNTIF(B$8:B107,B107)-1)</f>
        <v/>
      </c>
      <c r="E107" s="12">
        <f>IF(B107="","",B107/SUM($B$8:$B$507))</f>
        <v/>
      </c>
      <c r="F107" s="11">
        <f>IF(B107="","",IF(G107-E107&lt;$B$2,"A",IF(G107-E107&lt;$B$3,"B","C")))</f>
        <v/>
      </c>
      <c r="G107" s="12">
        <f>IF(B107="","",SUMIF($D$8:$D$507,"&lt;="&amp;D107,$B$8:$B$507)/SUM($B$8:$B$507))</f>
        <v/>
      </c>
    </row>
    <row r="108">
      <c r="A108" s="9" t="n"/>
      <c r="B108" s="9" t="n"/>
      <c r="C108" s="10" t="n"/>
      <c r="D108" s="11">
        <f>IF(B108="","",RANK(B108,$B$8:$B$507)+COUNTIF(B$8:B108,B108)-1)</f>
        <v/>
      </c>
      <c r="E108" s="12">
        <f>IF(B108="","",B108/SUM($B$8:$B$507))</f>
        <v/>
      </c>
      <c r="F108" s="11">
        <f>IF(B108="","",IF(G108-E108&lt;$B$2,"A",IF(G108-E108&lt;$B$3,"B","C")))</f>
        <v/>
      </c>
      <c r="G108" s="12">
        <f>IF(B108="","",SUMIF($D$8:$D$507,"&lt;="&amp;D108,$B$8:$B$507)/SUM($B$8:$B$507))</f>
        <v/>
      </c>
    </row>
    <row r="109">
      <c r="A109" s="9" t="n"/>
      <c r="B109" s="9" t="n"/>
      <c r="C109" s="10" t="n"/>
      <c r="D109" s="11">
        <f>IF(B109="","",RANK(B109,$B$8:$B$507)+COUNTIF(B$8:B109,B109)-1)</f>
        <v/>
      </c>
      <c r="E109" s="12">
        <f>IF(B109="","",B109/SUM($B$8:$B$507))</f>
        <v/>
      </c>
      <c r="F109" s="11">
        <f>IF(B109="","",IF(G109-E109&lt;$B$2,"A",IF(G109-E109&lt;$B$3,"B","C")))</f>
        <v/>
      </c>
      <c r="G109" s="12">
        <f>IF(B109="","",SUMIF($D$8:$D$507,"&lt;="&amp;D109,$B$8:$B$507)/SUM($B$8:$B$507))</f>
        <v/>
      </c>
    </row>
    <row r="110">
      <c r="A110" s="9" t="n"/>
      <c r="B110" s="9" t="n"/>
      <c r="C110" s="10" t="n"/>
      <c r="D110" s="11">
        <f>IF(B110="","",RANK(B110,$B$8:$B$507)+COUNTIF(B$8:B110,B110)-1)</f>
        <v/>
      </c>
      <c r="E110" s="12">
        <f>IF(B110="","",B110/SUM($B$8:$B$507))</f>
        <v/>
      </c>
      <c r="F110" s="11">
        <f>IF(B110="","",IF(G110-E110&lt;$B$2,"A",IF(G110-E110&lt;$B$3,"B","C")))</f>
        <v/>
      </c>
      <c r="G110" s="12">
        <f>IF(B110="","",SUMIF($D$8:$D$507,"&lt;="&amp;D110,$B$8:$B$507)/SUM($B$8:$B$507))</f>
        <v/>
      </c>
    </row>
    <row r="111">
      <c r="A111" s="9" t="n"/>
      <c r="B111" s="9" t="n"/>
      <c r="C111" s="10" t="n"/>
      <c r="D111" s="11">
        <f>IF(B111="","",RANK(B111,$B$8:$B$507)+COUNTIF(B$8:B111,B111)-1)</f>
        <v/>
      </c>
      <c r="E111" s="12">
        <f>IF(B111="","",B111/SUM($B$8:$B$507))</f>
        <v/>
      </c>
      <c r="F111" s="11">
        <f>IF(B111="","",IF(G111-E111&lt;$B$2,"A",IF(G111-E111&lt;$B$3,"B","C")))</f>
        <v/>
      </c>
      <c r="G111" s="12">
        <f>IF(B111="","",SUMIF($D$8:$D$507,"&lt;="&amp;D111,$B$8:$B$507)/SUM($B$8:$B$507))</f>
        <v/>
      </c>
    </row>
    <row r="112">
      <c r="A112" s="9" t="n"/>
      <c r="B112" s="9" t="n"/>
      <c r="C112" s="10" t="n"/>
      <c r="D112" s="11">
        <f>IF(B112="","",RANK(B112,$B$8:$B$507)+COUNTIF(B$8:B112,B112)-1)</f>
        <v/>
      </c>
      <c r="E112" s="12">
        <f>IF(B112="","",B112/SUM($B$8:$B$507))</f>
        <v/>
      </c>
      <c r="F112" s="11">
        <f>IF(B112="","",IF(G112-E112&lt;$B$2,"A",IF(G112-E112&lt;$B$3,"B","C")))</f>
        <v/>
      </c>
      <c r="G112" s="12">
        <f>IF(B112="","",SUMIF($D$8:$D$507,"&lt;="&amp;D112,$B$8:$B$507)/SUM($B$8:$B$507))</f>
        <v/>
      </c>
    </row>
    <row r="113">
      <c r="A113" s="9" t="n"/>
      <c r="B113" s="9" t="n"/>
      <c r="C113" s="10" t="n"/>
      <c r="D113" s="11">
        <f>IF(B113="","",RANK(B113,$B$8:$B$507)+COUNTIF(B$8:B113,B113)-1)</f>
        <v/>
      </c>
      <c r="E113" s="12">
        <f>IF(B113="","",B113/SUM($B$8:$B$507))</f>
        <v/>
      </c>
      <c r="F113" s="11">
        <f>IF(B113="","",IF(G113-E113&lt;$B$2,"A",IF(G113-E113&lt;$B$3,"B","C")))</f>
        <v/>
      </c>
      <c r="G113" s="12">
        <f>IF(B113="","",SUMIF($D$8:$D$507,"&lt;="&amp;D113,$B$8:$B$507)/SUM($B$8:$B$507))</f>
        <v/>
      </c>
    </row>
    <row r="114">
      <c r="A114" s="9" t="n"/>
      <c r="B114" s="9" t="n"/>
      <c r="C114" s="10" t="n"/>
      <c r="D114" s="11">
        <f>IF(B114="","",RANK(B114,$B$8:$B$507)+COUNTIF(B$8:B114,B114)-1)</f>
        <v/>
      </c>
      <c r="E114" s="12">
        <f>IF(B114="","",B114/SUM($B$8:$B$507))</f>
        <v/>
      </c>
      <c r="F114" s="11">
        <f>IF(B114="","",IF(G114-E114&lt;$B$2,"A",IF(G114-E114&lt;$B$3,"B","C")))</f>
        <v/>
      </c>
      <c r="G114" s="12">
        <f>IF(B114="","",SUMIF($D$8:$D$507,"&lt;="&amp;D114,$B$8:$B$507)/SUM($B$8:$B$507))</f>
        <v/>
      </c>
    </row>
    <row r="115">
      <c r="A115" s="9" t="n"/>
      <c r="B115" s="9" t="n"/>
      <c r="C115" s="10" t="n"/>
      <c r="D115" s="11">
        <f>IF(B115="","",RANK(B115,$B$8:$B$507)+COUNTIF(B$8:B115,B115)-1)</f>
        <v/>
      </c>
      <c r="E115" s="12">
        <f>IF(B115="","",B115/SUM($B$8:$B$507))</f>
        <v/>
      </c>
      <c r="F115" s="11">
        <f>IF(B115="","",IF(G115-E115&lt;$B$2,"A",IF(G115-E115&lt;$B$3,"B","C")))</f>
        <v/>
      </c>
      <c r="G115" s="12">
        <f>IF(B115="","",SUMIF($D$8:$D$507,"&lt;="&amp;D115,$B$8:$B$507)/SUM($B$8:$B$507))</f>
        <v/>
      </c>
    </row>
    <row r="116">
      <c r="A116" s="9" t="n"/>
      <c r="B116" s="9" t="n"/>
      <c r="C116" s="10" t="n"/>
      <c r="D116" s="11">
        <f>IF(B116="","",RANK(B116,$B$8:$B$507)+COUNTIF(B$8:B116,B116)-1)</f>
        <v/>
      </c>
      <c r="E116" s="12">
        <f>IF(B116="","",B116/SUM($B$8:$B$507))</f>
        <v/>
      </c>
      <c r="F116" s="11">
        <f>IF(B116="","",IF(G116-E116&lt;$B$2,"A",IF(G116-E116&lt;$B$3,"B","C")))</f>
        <v/>
      </c>
      <c r="G116" s="12">
        <f>IF(B116="","",SUMIF($D$8:$D$507,"&lt;="&amp;D116,$B$8:$B$507)/SUM($B$8:$B$507))</f>
        <v/>
      </c>
    </row>
    <row r="117">
      <c r="A117" s="9" t="n"/>
      <c r="B117" s="9" t="n"/>
      <c r="C117" s="10" t="n"/>
      <c r="D117" s="11">
        <f>IF(B117="","",RANK(B117,$B$8:$B$507)+COUNTIF(B$8:B117,B117)-1)</f>
        <v/>
      </c>
      <c r="E117" s="12">
        <f>IF(B117="","",B117/SUM($B$8:$B$507))</f>
        <v/>
      </c>
      <c r="F117" s="11">
        <f>IF(B117="","",IF(G117-E117&lt;$B$2,"A",IF(G117-E117&lt;$B$3,"B","C")))</f>
        <v/>
      </c>
      <c r="G117" s="12">
        <f>IF(B117="","",SUMIF($D$8:$D$507,"&lt;="&amp;D117,$B$8:$B$507)/SUM($B$8:$B$507))</f>
        <v/>
      </c>
    </row>
    <row r="118">
      <c r="A118" s="9" t="n"/>
      <c r="B118" s="9" t="n"/>
      <c r="C118" s="10" t="n"/>
      <c r="D118" s="11">
        <f>IF(B118="","",RANK(B118,$B$8:$B$507)+COUNTIF(B$8:B118,B118)-1)</f>
        <v/>
      </c>
      <c r="E118" s="12">
        <f>IF(B118="","",B118/SUM($B$8:$B$507))</f>
        <v/>
      </c>
      <c r="F118" s="11">
        <f>IF(B118="","",IF(G118-E118&lt;$B$2,"A",IF(G118-E118&lt;$B$3,"B","C")))</f>
        <v/>
      </c>
      <c r="G118" s="12">
        <f>IF(B118="","",SUMIF($D$8:$D$507,"&lt;="&amp;D118,$B$8:$B$507)/SUM($B$8:$B$507))</f>
        <v/>
      </c>
    </row>
    <row r="119">
      <c r="A119" s="9" t="n"/>
      <c r="B119" s="9" t="n"/>
      <c r="C119" s="10" t="n"/>
      <c r="D119" s="11">
        <f>IF(B119="","",RANK(B119,$B$8:$B$507)+COUNTIF(B$8:B119,B119)-1)</f>
        <v/>
      </c>
      <c r="E119" s="12">
        <f>IF(B119="","",B119/SUM($B$8:$B$507))</f>
        <v/>
      </c>
      <c r="F119" s="11">
        <f>IF(B119="","",IF(G119-E119&lt;$B$2,"A",IF(G119-E119&lt;$B$3,"B","C")))</f>
        <v/>
      </c>
      <c r="G119" s="12">
        <f>IF(B119="","",SUMIF($D$8:$D$507,"&lt;="&amp;D119,$B$8:$B$507)/SUM($B$8:$B$507))</f>
        <v/>
      </c>
    </row>
    <row r="120">
      <c r="A120" s="9" t="n"/>
      <c r="B120" s="9" t="n"/>
      <c r="C120" s="10" t="n"/>
      <c r="D120" s="11">
        <f>IF(B120="","",RANK(B120,$B$8:$B$507)+COUNTIF(B$8:B120,B120)-1)</f>
        <v/>
      </c>
      <c r="E120" s="12">
        <f>IF(B120="","",B120/SUM($B$8:$B$507))</f>
        <v/>
      </c>
      <c r="F120" s="11">
        <f>IF(B120="","",IF(G120-E120&lt;$B$2,"A",IF(G120-E120&lt;$B$3,"B","C")))</f>
        <v/>
      </c>
      <c r="G120" s="12">
        <f>IF(B120="","",SUMIF($D$8:$D$507,"&lt;="&amp;D120,$B$8:$B$507)/SUM($B$8:$B$507))</f>
        <v/>
      </c>
    </row>
    <row r="121">
      <c r="A121" s="9" t="n"/>
      <c r="B121" s="9" t="n"/>
      <c r="C121" s="10" t="n"/>
      <c r="D121" s="11">
        <f>IF(B121="","",RANK(B121,$B$8:$B$507)+COUNTIF(B$8:B121,B121)-1)</f>
        <v/>
      </c>
      <c r="E121" s="12">
        <f>IF(B121="","",B121/SUM($B$8:$B$507))</f>
        <v/>
      </c>
      <c r="F121" s="11">
        <f>IF(B121="","",IF(G121-E121&lt;$B$2,"A",IF(G121-E121&lt;$B$3,"B","C")))</f>
        <v/>
      </c>
      <c r="G121" s="12">
        <f>IF(B121="","",SUMIF($D$8:$D$507,"&lt;="&amp;D121,$B$8:$B$507)/SUM($B$8:$B$507))</f>
        <v/>
      </c>
    </row>
    <row r="122">
      <c r="A122" s="9" t="n"/>
      <c r="B122" s="9" t="n"/>
      <c r="C122" s="10" t="n"/>
      <c r="D122" s="11">
        <f>IF(B122="","",RANK(B122,$B$8:$B$507)+COUNTIF(B$8:B122,B122)-1)</f>
        <v/>
      </c>
      <c r="E122" s="12">
        <f>IF(B122="","",B122/SUM($B$8:$B$507))</f>
        <v/>
      </c>
      <c r="F122" s="11">
        <f>IF(B122="","",IF(G122-E122&lt;$B$2,"A",IF(G122-E122&lt;$B$3,"B","C")))</f>
        <v/>
      </c>
      <c r="G122" s="12">
        <f>IF(B122="","",SUMIF($D$8:$D$507,"&lt;="&amp;D122,$B$8:$B$507)/SUM($B$8:$B$507))</f>
        <v/>
      </c>
    </row>
    <row r="123">
      <c r="A123" s="9" t="n"/>
      <c r="B123" s="9" t="n"/>
      <c r="C123" s="10" t="n"/>
      <c r="D123" s="11">
        <f>IF(B123="","",RANK(B123,$B$8:$B$507)+COUNTIF(B$8:B123,B123)-1)</f>
        <v/>
      </c>
      <c r="E123" s="12">
        <f>IF(B123="","",B123/SUM($B$8:$B$507))</f>
        <v/>
      </c>
      <c r="F123" s="11">
        <f>IF(B123="","",IF(G123-E123&lt;$B$2,"A",IF(G123-E123&lt;$B$3,"B","C")))</f>
        <v/>
      </c>
      <c r="G123" s="12">
        <f>IF(B123="","",SUMIF($D$8:$D$507,"&lt;="&amp;D123,$B$8:$B$507)/SUM($B$8:$B$507))</f>
        <v/>
      </c>
    </row>
    <row r="124">
      <c r="A124" s="9" t="n"/>
      <c r="B124" s="9" t="n"/>
      <c r="C124" s="10" t="n"/>
      <c r="D124" s="11">
        <f>IF(B124="","",RANK(B124,$B$8:$B$507)+COUNTIF(B$8:B124,B124)-1)</f>
        <v/>
      </c>
      <c r="E124" s="12">
        <f>IF(B124="","",B124/SUM($B$8:$B$507))</f>
        <v/>
      </c>
      <c r="F124" s="11">
        <f>IF(B124="","",IF(G124-E124&lt;$B$2,"A",IF(G124-E124&lt;$B$3,"B","C")))</f>
        <v/>
      </c>
      <c r="G124" s="12">
        <f>IF(B124="","",SUMIF($D$8:$D$507,"&lt;="&amp;D124,$B$8:$B$507)/SUM($B$8:$B$507))</f>
        <v/>
      </c>
    </row>
    <row r="125">
      <c r="A125" s="9" t="n"/>
      <c r="B125" s="9" t="n"/>
      <c r="C125" s="10" t="n"/>
      <c r="D125" s="11">
        <f>IF(B125="","",RANK(B125,$B$8:$B$507)+COUNTIF(B$8:B125,B125)-1)</f>
        <v/>
      </c>
      <c r="E125" s="12">
        <f>IF(B125="","",B125/SUM($B$8:$B$507))</f>
        <v/>
      </c>
      <c r="F125" s="11">
        <f>IF(B125="","",IF(G125-E125&lt;$B$2,"A",IF(G125-E125&lt;$B$3,"B","C")))</f>
        <v/>
      </c>
      <c r="G125" s="12">
        <f>IF(B125="","",SUMIF($D$8:$D$507,"&lt;="&amp;D125,$B$8:$B$507)/SUM($B$8:$B$507))</f>
        <v/>
      </c>
    </row>
    <row r="126">
      <c r="A126" s="9" t="n"/>
      <c r="B126" s="9" t="n"/>
      <c r="C126" s="10" t="n"/>
      <c r="D126" s="11">
        <f>IF(B126="","",RANK(B126,$B$8:$B$507)+COUNTIF(B$8:B126,B126)-1)</f>
        <v/>
      </c>
      <c r="E126" s="12">
        <f>IF(B126="","",B126/SUM($B$8:$B$507))</f>
        <v/>
      </c>
      <c r="F126" s="11">
        <f>IF(B126="","",IF(G126-E126&lt;$B$2,"A",IF(G126-E126&lt;$B$3,"B","C")))</f>
        <v/>
      </c>
      <c r="G126" s="12">
        <f>IF(B126="","",SUMIF($D$8:$D$507,"&lt;="&amp;D126,$B$8:$B$507)/SUM($B$8:$B$507))</f>
        <v/>
      </c>
    </row>
    <row r="127">
      <c r="A127" s="9" t="n"/>
      <c r="B127" s="9" t="n"/>
      <c r="C127" s="10" t="n"/>
      <c r="D127" s="11">
        <f>IF(B127="","",RANK(B127,$B$8:$B$507)+COUNTIF(B$8:B127,B127)-1)</f>
        <v/>
      </c>
      <c r="E127" s="12">
        <f>IF(B127="","",B127/SUM($B$8:$B$507))</f>
        <v/>
      </c>
      <c r="F127" s="11">
        <f>IF(B127="","",IF(G127-E127&lt;$B$2,"A",IF(G127-E127&lt;$B$3,"B","C")))</f>
        <v/>
      </c>
      <c r="G127" s="12">
        <f>IF(B127="","",SUMIF($D$8:$D$507,"&lt;="&amp;D127,$B$8:$B$507)/SUM($B$8:$B$507))</f>
        <v/>
      </c>
    </row>
    <row r="128">
      <c r="A128" s="9" t="n"/>
      <c r="B128" s="9" t="n"/>
      <c r="C128" s="10" t="n"/>
      <c r="D128" s="11">
        <f>IF(B128="","",RANK(B128,$B$8:$B$507)+COUNTIF(B$8:B128,B128)-1)</f>
        <v/>
      </c>
      <c r="E128" s="12">
        <f>IF(B128="","",B128/SUM($B$8:$B$507))</f>
        <v/>
      </c>
      <c r="F128" s="11">
        <f>IF(B128="","",IF(G128-E128&lt;$B$2,"A",IF(G128-E128&lt;$B$3,"B","C")))</f>
        <v/>
      </c>
      <c r="G128" s="12">
        <f>IF(B128="","",SUMIF($D$8:$D$507,"&lt;="&amp;D128,$B$8:$B$507)/SUM($B$8:$B$507))</f>
        <v/>
      </c>
    </row>
    <row r="129">
      <c r="A129" s="9" t="n"/>
      <c r="B129" s="9" t="n"/>
      <c r="C129" s="10" t="n"/>
      <c r="D129" s="11">
        <f>IF(B129="","",RANK(B129,$B$8:$B$507)+COUNTIF(B$8:B129,B129)-1)</f>
        <v/>
      </c>
      <c r="E129" s="12">
        <f>IF(B129="","",B129/SUM($B$8:$B$507))</f>
        <v/>
      </c>
      <c r="F129" s="11">
        <f>IF(B129="","",IF(G129-E129&lt;$B$2,"A",IF(G129-E129&lt;$B$3,"B","C")))</f>
        <v/>
      </c>
      <c r="G129" s="12">
        <f>IF(B129="","",SUMIF($D$8:$D$507,"&lt;="&amp;D129,$B$8:$B$507)/SUM($B$8:$B$507))</f>
        <v/>
      </c>
    </row>
    <row r="130">
      <c r="A130" s="9" t="n"/>
      <c r="B130" s="9" t="n"/>
      <c r="C130" s="10" t="n"/>
      <c r="D130" s="11">
        <f>IF(B130="","",RANK(B130,$B$8:$B$507)+COUNTIF(B$8:B130,B130)-1)</f>
        <v/>
      </c>
      <c r="E130" s="12">
        <f>IF(B130="","",B130/SUM($B$8:$B$507))</f>
        <v/>
      </c>
      <c r="F130" s="11">
        <f>IF(B130="","",IF(G130-E130&lt;$B$2,"A",IF(G130-E130&lt;$B$3,"B","C")))</f>
        <v/>
      </c>
      <c r="G130" s="12">
        <f>IF(B130="","",SUMIF($D$8:$D$507,"&lt;="&amp;D130,$B$8:$B$507)/SUM($B$8:$B$507))</f>
        <v/>
      </c>
    </row>
    <row r="131">
      <c r="A131" s="9" t="n"/>
      <c r="B131" s="9" t="n"/>
      <c r="C131" s="10" t="n"/>
      <c r="D131" s="11">
        <f>IF(B131="","",RANK(B131,$B$8:$B$507)+COUNTIF(B$8:B131,B131)-1)</f>
        <v/>
      </c>
      <c r="E131" s="12">
        <f>IF(B131="","",B131/SUM($B$8:$B$507))</f>
        <v/>
      </c>
      <c r="F131" s="11">
        <f>IF(B131="","",IF(G131-E131&lt;$B$2,"A",IF(G131-E131&lt;$B$3,"B","C")))</f>
        <v/>
      </c>
      <c r="G131" s="12">
        <f>IF(B131="","",SUMIF($D$8:$D$507,"&lt;="&amp;D131,$B$8:$B$507)/SUM($B$8:$B$507))</f>
        <v/>
      </c>
    </row>
    <row r="132">
      <c r="A132" s="9" t="n"/>
      <c r="B132" s="9" t="n"/>
      <c r="C132" s="10" t="n"/>
      <c r="D132" s="11">
        <f>IF(B132="","",RANK(B132,$B$8:$B$507)+COUNTIF(B$8:B132,B132)-1)</f>
        <v/>
      </c>
      <c r="E132" s="12">
        <f>IF(B132="","",B132/SUM($B$8:$B$507))</f>
        <v/>
      </c>
      <c r="F132" s="11">
        <f>IF(B132="","",IF(G132-E132&lt;$B$2,"A",IF(G132-E132&lt;$B$3,"B","C")))</f>
        <v/>
      </c>
      <c r="G132" s="12">
        <f>IF(B132="","",SUMIF($D$8:$D$507,"&lt;="&amp;D132,$B$8:$B$507)/SUM($B$8:$B$507))</f>
        <v/>
      </c>
    </row>
    <row r="133">
      <c r="A133" s="9" t="n"/>
      <c r="B133" s="9" t="n"/>
      <c r="C133" s="10" t="n"/>
      <c r="D133" s="11">
        <f>IF(B133="","",RANK(B133,$B$8:$B$507)+COUNTIF(B$8:B133,B133)-1)</f>
        <v/>
      </c>
      <c r="E133" s="12">
        <f>IF(B133="","",B133/SUM($B$8:$B$507))</f>
        <v/>
      </c>
      <c r="F133" s="11">
        <f>IF(B133="","",IF(G133-E133&lt;$B$2,"A",IF(G133-E133&lt;$B$3,"B","C")))</f>
        <v/>
      </c>
      <c r="G133" s="12">
        <f>IF(B133="","",SUMIF($D$8:$D$507,"&lt;="&amp;D133,$B$8:$B$507)/SUM($B$8:$B$507))</f>
        <v/>
      </c>
    </row>
    <row r="134">
      <c r="A134" s="9" t="n"/>
      <c r="B134" s="9" t="n"/>
      <c r="C134" s="10" t="n"/>
      <c r="D134" s="11">
        <f>IF(B134="","",RANK(B134,$B$8:$B$507)+COUNTIF(B$8:B134,B134)-1)</f>
        <v/>
      </c>
      <c r="E134" s="12">
        <f>IF(B134="","",B134/SUM($B$8:$B$507))</f>
        <v/>
      </c>
      <c r="F134" s="11">
        <f>IF(B134="","",IF(G134-E134&lt;$B$2,"A",IF(G134-E134&lt;$B$3,"B","C")))</f>
        <v/>
      </c>
      <c r="G134" s="12">
        <f>IF(B134="","",SUMIF($D$8:$D$507,"&lt;="&amp;D134,$B$8:$B$507)/SUM($B$8:$B$507))</f>
        <v/>
      </c>
    </row>
    <row r="135">
      <c r="A135" s="9" t="n"/>
      <c r="B135" s="9" t="n"/>
      <c r="C135" s="10" t="n"/>
      <c r="D135" s="11">
        <f>IF(B135="","",RANK(B135,$B$8:$B$507)+COUNTIF(B$8:B135,B135)-1)</f>
        <v/>
      </c>
      <c r="E135" s="12">
        <f>IF(B135="","",B135/SUM($B$8:$B$507))</f>
        <v/>
      </c>
      <c r="F135" s="11">
        <f>IF(B135="","",IF(G135-E135&lt;$B$2,"A",IF(G135-E135&lt;$B$3,"B","C")))</f>
        <v/>
      </c>
      <c r="G135" s="12">
        <f>IF(B135="","",SUMIF($D$8:$D$507,"&lt;="&amp;D135,$B$8:$B$507)/SUM($B$8:$B$507))</f>
        <v/>
      </c>
    </row>
    <row r="136">
      <c r="A136" s="9" t="n"/>
      <c r="B136" s="9" t="n"/>
      <c r="C136" s="10" t="n"/>
      <c r="D136" s="11">
        <f>IF(B136="","",RANK(B136,$B$8:$B$507)+COUNTIF(B$8:B136,B136)-1)</f>
        <v/>
      </c>
      <c r="E136" s="12">
        <f>IF(B136="","",B136/SUM($B$8:$B$507))</f>
        <v/>
      </c>
      <c r="F136" s="11">
        <f>IF(B136="","",IF(G136-E136&lt;$B$2,"A",IF(G136-E136&lt;$B$3,"B","C")))</f>
        <v/>
      </c>
      <c r="G136" s="12">
        <f>IF(B136="","",SUMIF($D$8:$D$507,"&lt;="&amp;D136,$B$8:$B$507)/SUM($B$8:$B$507))</f>
        <v/>
      </c>
    </row>
    <row r="137">
      <c r="A137" s="9" t="n"/>
      <c r="B137" s="9" t="n"/>
      <c r="C137" s="10" t="n"/>
      <c r="D137" s="11">
        <f>IF(B137="","",RANK(B137,$B$8:$B$507)+COUNTIF(B$8:B137,B137)-1)</f>
        <v/>
      </c>
      <c r="E137" s="12">
        <f>IF(B137="","",B137/SUM($B$8:$B$507))</f>
        <v/>
      </c>
      <c r="F137" s="11">
        <f>IF(B137="","",IF(G137-E137&lt;$B$2,"A",IF(G137-E137&lt;$B$3,"B","C")))</f>
        <v/>
      </c>
      <c r="G137" s="12">
        <f>IF(B137="","",SUMIF($D$8:$D$507,"&lt;="&amp;D137,$B$8:$B$507)/SUM($B$8:$B$507))</f>
        <v/>
      </c>
    </row>
    <row r="138">
      <c r="A138" s="9" t="n"/>
      <c r="B138" s="9" t="n"/>
      <c r="C138" s="10" t="n"/>
      <c r="D138" s="11">
        <f>IF(B138="","",RANK(B138,$B$8:$B$507)+COUNTIF(B$8:B138,B138)-1)</f>
        <v/>
      </c>
      <c r="E138" s="12">
        <f>IF(B138="","",B138/SUM($B$8:$B$507))</f>
        <v/>
      </c>
      <c r="F138" s="11">
        <f>IF(B138="","",IF(G138-E138&lt;$B$2,"A",IF(G138-E138&lt;$B$3,"B","C")))</f>
        <v/>
      </c>
      <c r="G138" s="12">
        <f>IF(B138="","",SUMIF($D$8:$D$507,"&lt;="&amp;D138,$B$8:$B$507)/SUM($B$8:$B$507))</f>
        <v/>
      </c>
    </row>
    <row r="139">
      <c r="A139" s="9" t="n"/>
      <c r="B139" s="9" t="n"/>
      <c r="C139" s="10" t="n"/>
      <c r="D139" s="11">
        <f>IF(B139="","",RANK(B139,$B$8:$B$507)+COUNTIF(B$8:B139,B139)-1)</f>
        <v/>
      </c>
      <c r="E139" s="12">
        <f>IF(B139="","",B139/SUM($B$8:$B$507))</f>
        <v/>
      </c>
      <c r="F139" s="11">
        <f>IF(B139="","",IF(G139-E139&lt;$B$2,"A",IF(G139-E139&lt;$B$3,"B","C")))</f>
        <v/>
      </c>
      <c r="G139" s="12">
        <f>IF(B139="","",SUMIF($D$8:$D$507,"&lt;="&amp;D139,$B$8:$B$507)/SUM($B$8:$B$507))</f>
        <v/>
      </c>
    </row>
    <row r="140">
      <c r="A140" s="9" t="n"/>
      <c r="B140" s="9" t="n"/>
      <c r="C140" s="10" t="n"/>
      <c r="D140" s="11">
        <f>IF(B140="","",RANK(B140,$B$8:$B$507)+COUNTIF(B$8:B140,B140)-1)</f>
        <v/>
      </c>
      <c r="E140" s="12">
        <f>IF(B140="","",B140/SUM($B$8:$B$507))</f>
        <v/>
      </c>
      <c r="F140" s="11">
        <f>IF(B140="","",IF(G140-E140&lt;$B$2,"A",IF(G140-E140&lt;$B$3,"B","C")))</f>
        <v/>
      </c>
      <c r="G140" s="12">
        <f>IF(B140="","",SUMIF($D$8:$D$507,"&lt;="&amp;D140,$B$8:$B$507)/SUM($B$8:$B$507))</f>
        <v/>
      </c>
    </row>
    <row r="141">
      <c r="A141" s="9" t="n"/>
      <c r="B141" s="9" t="n"/>
      <c r="C141" s="10" t="n"/>
      <c r="D141" s="11">
        <f>IF(B141="","",RANK(B141,$B$8:$B$507)+COUNTIF(B$8:B141,B141)-1)</f>
        <v/>
      </c>
      <c r="E141" s="12">
        <f>IF(B141="","",B141/SUM($B$8:$B$507))</f>
        <v/>
      </c>
      <c r="F141" s="11">
        <f>IF(B141="","",IF(G141-E141&lt;$B$2,"A",IF(G141-E141&lt;$B$3,"B","C")))</f>
        <v/>
      </c>
      <c r="G141" s="12">
        <f>IF(B141="","",SUMIF($D$8:$D$507,"&lt;="&amp;D141,$B$8:$B$507)/SUM($B$8:$B$507))</f>
        <v/>
      </c>
    </row>
    <row r="142">
      <c r="A142" s="9" t="n"/>
      <c r="B142" s="9" t="n"/>
      <c r="C142" s="10" t="n"/>
      <c r="D142" s="11">
        <f>IF(B142="","",RANK(B142,$B$8:$B$507)+COUNTIF(B$8:B142,B142)-1)</f>
        <v/>
      </c>
      <c r="E142" s="12">
        <f>IF(B142="","",B142/SUM($B$8:$B$507))</f>
        <v/>
      </c>
      <c r="F142" s="11">
        <f>IF(B142="","",IF(G142-E142&lt;$B$2,"A",IF(G142-E142&lt;$B$3,"B","C")))</f>
        <v/>
      </c>
      <c r="G142" s="12">
        <f>IF(B142="","",SUMIF($D$8:$D$507,"&lt;="&amp;D142,$B$8:$B$507)/SUM($B$8:$B$507))</f>
        <v/>
      </c>
    </row>
    <row r="143">
      <c r="A143" s="9" t="n"/>
      <c r="B143" s="9" t="n"/>
      <c r="C143" s="10" t="n"/>
      <c r="D143" s="11">
        <f>IF(B143="","",RANK(B143,$B$8:$B$507)+COUNTIF(B$8:B143,B143)-1)</f>
        <v/>
      </c>
      <c r="E143" s="12">
        <f>IF(B143="","",B143/SUM($B$8:$B$507))</f>
        <v/>
      </c>
      <c r="F143" s="11">
        <f>IF(B143="","",IF(G143-E143&lt;$B$2,"A",IF(G143-E143&lt;$B$3,"B","C")))</f>
        <v/>
      </c>
      <c r="G143" s="12">
        <f>IF(B143="","",SUMIF($D$8:$D$507,"&lt;="&amp;D143,$B$8:$B$507)/SUM($B$8:$B$507))</f>
        <v/>
      </c>
    </row>
    <row r="144">
      <c r="A144" s="9" t="n"/>
      <c r="B144" s="9" t="n"/>
      <c r="C144" s="10" t="n"/>
      <c r="D144" s="11">
        <f>IF(B144="","",RANK(B144,$B$8:$B$507)+COUNTIF(B$8:B144,B144)-1)</f>
        <v/>
      </c>
      <c r="E144" s="12">
        <f>IF(B144="","",B144/SUM($B$8:$B$507))</f>
        <v/>
      </c>
      <c r="F144" s="11">
        <f>IF(B144="","",IF(G144-E144&lt;$B$2,"A",IF(G144-E144&lt;$B$3,"B","C")))</f>
        <v/>
      </c>
      <c r="G144" s="12">
        <f>IF(B144="","",SUMIF($D$8:$D$507,"&lt;="&amp;D144,$B$8:$B$507)/SUM($B$8:$B$507))</f>
        <v/>
      </c>
    </row>
    <row r="145">
      <c r="A145" s="9" t="n"/>
      <c r="B145" s="9" t="n"/>
      <c r="C145" s="10" t="n"/>
      <c r="D145" s="11">
        <f>IF(B145="","",RANK(B145,$B$8:$B$507)+COUNTIF(B$8:B145,B145)-1)</f>
        <v/>
      </c>
      <c r="E145" s="12">
        <f>IF(B145="","",B145/SUM($B$8:$B$507))</f>
        <v/>
      </c>
      <c r="F145" s="11">
        <f>IF(B145="","",IF(G145-E145&lt;$B$2,"A",IF(G145-E145&lt;$B$3,"B","C")))</f>
        <v/>
      </c>
      <c r="G145" s="12">
        <f>IF(B145="","",SUMIF($D$8:$D$507,"&lt;="&amp;D145,$B$8:$B$507)/SUM($B$8:$B$507))</f>
        <v/>
      </c>
    </row>
    <row r="146">
      <c r="A146" s="9" t="n"/>
      <c r="B146" s="9" t="n"/>
      <c r="C146" s="10" t="n"/>
      <c r="D146" s="11">
        <f>IF(B146="","",RANK(B146,$B$8:$B$507)+COUNTIF(B$8:B146,B146)-1)</f>
        <v/>
      </c>
      <c r="E146" s="12">
        <f>IF(B146="","",B146/SUM($B$8:$B$507))</f>
        <v/>
      </c>
      <c r="F146" s="11">
        <f>IF(B146="","",IF(G146-E146&lt;$B$2,"A",IF(G146-E146&lt;$B$3,"B","C")))</f>
        <v/>
      </c>
      <c r="G146" s="12">
        <f>IF(B146="","",SUMIF($D$8:$D$507,"&lt;="&amp;D146,$B$8:$B$507)/SUM($B$8:$B$507))</f>
        <v/>
      </c>
    </row>
    <row r="147">
      <c r="A147" s="9" t="n"/>
      <c r="B147" s="9" t="n"/>
      <c r="C147" s="10" t="n"/>
      <c r="D147" s="11">
        <f>IF(B147="","",RANK(B147,$B$8:$B$507)+COUNTIF(B$8:B147,B147)-1)</f>
        <v/>
      </c>
      <c r="E147" s="12">
        <f>IF(B147="","",B147/SUM($B$8:$B$507))</f>
        <v/>
      </c>
      <c r="F147" s="11">
        <f>IF(B147="","",IF(G147-E147&lt;$B$2,"A",IF(G147-E147&lt;$B$3,"B","C")))</f>
        <v/>
      </c>
      <c r="G147" s="12">
        <f>IF(B147="","",SUMIF($D$8:$D$507,"&lt;="&amp;D147,$B$8:$B$507)/SUM($B$8:$B$507))</f>
        <v/>
      </c>
    </row>
    <row r="148">
      <c r="A148" s="9" t="n"/>
      <c r="B148" s="9" t="n"/>
      <c r="C148" s="10" t="n"/>
      <c r="D148" s="11">
        <f>IF(B148="","",RANK(B148,$B$8:$B$507)+COUNTIF(B$8:B148,B148)-1)</f>
        <v/>
      </c>
      <c r="E148" s="12">
        <f>IF(B148="","",B148/SUM($B$8:$B$507))</f>
        <v/>
      </c>
      <c r="F148" s="11">
        <f>IF(B148="","",IF(G148-E148&lt;$B$2,"A",IF(G148-E148&lt;$B$3,"B","C")))</f>
        <v/>
      </c>
      <c r="G148" s="12">
        <f>IF(B148="","",SUMIF($D$8:$D$507,"&lt;="&amp;D148,$B$8:$B$507)/SUM($B$8:$B$507))</f>
        <v/>
      </c>
    </row>
    <row r="149">
      <c r="A149" s="9" t="n"/>
      <c r="B149" s="9" t="n"/>
      <c r="C149" s="10" t="n"/>
      <c r="D149" s="11">
        <f>IF(B149="","",RANK(B149,$B$8:$B$507)+COUNTIF(B$8:B149,B149)-1)</f>
        <v/>
      </c>
      <c r="E149" s="12">
        <f>IF(B149="","",B149/SUM($B$8:$B$507))</f>
        <v/>
      </c>
      <c r="F149" s="11">
        <f>IF(B149="","",IF(G149-E149&lt;$B$2,"A",IF(G149-E149&lt;$B$3,"B","C")))</f>
        <v/>
      </c>
      <c r="G149" s="12">
        <f>IF(B149="","",SUMIF($D$8:$D$507,"&lt;="&amp;D149,$B$8:$B$507)/SUM($B$8:$B$507))</f>
        <v/>
      </c>
    </row>
    <row r="150">
      <c r="A150" s="9" t="n"/>
      <c r="B150" s="9" t="n"/>
      <c r="C150" s="10" t="n"/>
      <c r="D150" s="11">
        <f>IF(B150="","",RANK(B150,$B$8:$B$507)+COUNTIF(B$8:B150,B150)-1)</f>
        <v/>
      </c>
      <c r="E150" s="12">
        <f>IF(B150="","",B150/SUM($B$8:$B$507))</f>
        <v/>
      </c>
      <c r="F150" s="11">
        <f>IF(B150="","",IF(G150-E150&lt;$B$2,"A",IF(G150-E150&lt;$B$3,"B","C")))</f>
        <v/>
      </c>
      <c r="G150" s="12">
        <f>IF(B150="","",SUMIF($D$8:$D$507,"&lt;="&amp;D150,$B$8:$B$507)/SUM($B$8:$B$507))</f>
        <v/>
      </c>
    </row>
    <row r="151">
      <c r="A151" s="9" t="n"/>
      <c r="B151" s="9" t="n"/>
      <c r="C151" s="10" t="n"/>
      <c r="D151" s="11">
        <f>IF(B151="","",RANK(B151,$B$8:$B$507)+COUNTIF(B$8:B151,B151)-1)</f>
        <v/>
      </c>
      <c r="E151" s="12">
        <f>IF(B151="","",B151/SUM($B$8:$B$507))</f>
        <v/>
      </c>
      <c r="F151" s="11">
        <f>IF(B151="","",IF(G151-E151&lt;$B$2,"A",IF(G151-E151&lt;$B$3,"B","C")))</f>
        <v/>
      </c>
      <c r="G151" s="12">
        <f>IF(B151="","",SUMIF($D$8:$D$507,"&lt;="&amp;D151,$B$8:$B$507)/SUM($B$8:$B$507))</f>
        <v/>
      </c>
    </row>
    <row r="152">
      <c r="A152" s="9" t="n"/>
      <c r="B152" s="9" t="n"/>
      <c r="C152" s="10" t="n"/>
      <c r="D152" s="11">
        <f>IF(B152="","",RANK(B152,$B$8:$B$507)+COUNTIF(B$8:B152,B152)-1)</f>
        <v/>
      </c>
      <c r="E152" s="12">
        <f>IF(B152="","",B152/SUM($B$8:$B$507))</f>
        <v/>
      </c>
      <c r="F152" s="11">
        <f>IF(B152="","",IF(G152-E152&lt;$B$2,"A",IF(G152-E152&lt;$B$3,"B","C")))</f>
        <v/>
      </c>
      <c r="G152" s="12">
        <f>IF(B152="","",SUMIF($D$8:$D$507,"&lt;="&amp;D152,$B$8:$B$507)/SUM($B$8:$B$507))</f>
        <v/>
      </c>
    </row>
    <row r="153">
      <c r="A153" s="9" t="n"/>
      <c r="B153" s="9" t="n"/>
      <c r="C153" s="10" t="n"/>
      <c r="D153" s="11">
        <f>IF(B153="","",RANK(B153,$B$8:$B$507)+COUNTIF(B$8:B153,B153)-1)</f>
        <v/>
      </c>
      <c r="E153" s="12">
        <f>IF(B153="","",B153/SUM($B$8:$B$507))</f>
        <v/>
      </c>
      <c r="F153" s="11">
        <f>IF(B153="","",IF(G153-E153&lt;$B$2,"A",IF(G153-E153&lt;$B$3,"B","C")))</f>
        <v/>
      </c>
      <c r="G153" s="12">
        <f>IF(B153="","",SUMIF($D$8:$D$507,"&lt;="&amp;D153,$B$8:$B$507)/SUM($B$8:$B$507))</f>
        <v/>
      </c>
    </row>
    <row r="154">
      <c r="A154" s="9" t="n"/>
      <c r="B154" s="9" t="n"/>
      <c r="C154" s="10" t="n"/>
      <c r="D154" s="11">
        <f>IF(B154="","",RANK(B154,$B$8:$B$507)+COUNTIF(B$8:B154,B154)-1)</f>
        <v/>
      </c>
      <c r="E154" s="12">
        <f>IF(B154="","",B154/SUM($B$8:$B$507))</f>
        <v/>
      </c>
      <c r="F154" s="11">
        <f>IF(B154="","",IF(G154-E154&lt;$B$2,"A",IF(G154-E154&lt;$B$3,"B","C")))</f>
        <v/>
      </c>
      <c r="G154" s="12">
        <f>IF(B154="","",SUMIF($D$8:$D$507,"&lt;="&amp;D154,$B$8:$B$507)/SUM($B$8:$B$507))</f>
        <v/>
      </c>
    </row>
    <row r="155">
      <c r="A155" s="9" t="n"/>
      <c r="B155" s="9" t="n"/>
      <c r="C155" s="10" t="n"/>
      <c r="D155" s="11">
        <f>IF(B155="","",RANK(B155,$B$8:$B$507)+COUNTIF(B$8:B155,B155)-1)</f>
        <v/>
      </c>
      <c r="E155" s="12">
        <f>IF(B155="","",B155/SUM($B$8:$B$507))</f>
        <v/>
      </c>
      <c r="F155" s="11">
        <f>IF(B155="","",IF(G155-E155&lt;$B$2,"A",IF(G155-E155&lt;$B$3,"B","C")))</f>
        <v/>
      </c>
      <c r="G155" s="12">
        <f>IF(B155="","",SUMIF($D$8:$D$507,"&lt;="&amp;D155,$B$8:$B$507)/SUM($B$8:$B$507))</f>
        <v/>
      </c>
    </row>
    <row r="156">
      <c r="A156" s="9" t="n"/>
      <c r="B156" s="9" t="n"/>
      <c r="C156" s="10" t="n"/>
      <c r="D156" s="11">
        <f>IF(B156="","",RANK(B156,$B$8:$B$507)+COUNTIF(B$8:B156,B156)-1)</f>
        <v/>
      </c>
      <c r="E156" s="12">
        <f>IF(B156="","",B156/SUM($B$8:$B$507))</f>
        <v/>
      </c>
      <c r="F156" s="11">
        <f>IF(B156="","",IF(G156-E156&lt;$B$2,"A",IF(G156-E156&lt;$B$3,"B","C")))</f>
        <v/>
      </c>
      <c r="G156" s="12">
        <f>IF(B156="","",SUMIF($D$8:$D$507,"&lt;="&amp;D156,$B$8:$B$507)/SUM($B$8:$B$507))</f>
        <v/>
      </c>
    </row>
    <row r="157">
      <c r="A157" s="9" t="n"/>
      <c r="B157" s="9" t="n"/>
      <c r="C157" s="10" t="n"/>
      <c r="D157" s="11">
        <f>IF(B157="","",RANK(B157,$B$8:$B$507)+COUNTIF(B$8:B157,B157)-1)</f>
        <v/>
      </c>
      <c r="E157" s="12">
        <f>IF(B157="","",B157/SUM($B$8:$B$507))</f>
        <v/>
      </c>
      <c r="F157" s="11">
        <f>IF(B157="","",IF(G157-E157&lt;$B$2,"A",IF(G157-E157&lt;$B$3,"B","C")))</f>
        <v/>
      </c>
      <c r="G157" s="12">
        <f>IF(B157="","",SUMIF($D$8:$D$507,"&lt;="&amp;D157,$B$8:$B$507)/SUM($B$8:$B$507))</f>
        <v/>
      </c>
    </row>
    <row r="158">
      <c r="A158" s="9" t="n"/>
      <c r="B158" s="9" t="n"/>
      <c r="C158" s="10" t="n"/>
      <c r="D158" s="11">
        <f>IF(B158="","",RANK(B158,$B$8:$B$507)+COUNTIF(B$8:B158,B158)-1)</f>
        <v/>
      </c>
      <c r="E158" s="12">
        <f>IF(B158="","",B158/SUM($B$8:$B$507))</f>
        <v/>
      </c>
      <c r="F158" s="11">
        <f>IF(B158="","",IF(G158-E158&lt;$B$2,"A",IF(G158-E158&lt;$B$3,"B","C")))</f>
        <v/>
      </c>
      <c r="G158" s="12">
        <f>IF(B158="","",SUMIF($D$8:$D$507,"&lt;="&amp;D158,$B$8:$B$507)/SUM($B$8:$B$507))</f>
        <v/>
      </c>
    </row>
    <row r="159">
      <c r="A159" s="9" t="n"/>
      <c r="B159" s="9" t="n"/>
      <c r="C159" s="10" t="n"/>
      <c r="D159" s="11">
        <f>IF(B159="","",RANK(B159,$B$8:$B$507)+COUNTIF(B$8:B159,B159)-1)</f>
        <v/>
      </c>
      <c r="E159" s="12">
        <f>IF(B159="","",B159/SUM($B$8:$B$507))</f>
        <v/>
      </c>
      <c r="F159" s="11">
        <f>IF(B159="","",IF(G159-E159&lt;$B$2,"A",IF(G159-E159&lt;$B$3,"B","C")))</f>
        <v/>
      </c>
      <c r="G159" s="12">
        <f>IF(B159="","",SUMIF($D$8:$D$507,"&lt;="&amp;D159,$B$8:$B$507)/SUM($B$8:$B$507))</f>
        <v/>
      </c>
    </row>
    <row r="160">
      <c r="A160" s="9" t="n"/>
      <c r="B160" s="9" t="n"/>
      <c r="C160" s="10" t="n"/>
      <c r="D160" s="11">
        <f>IF(B160="","",RANK(B160,$B$8:$B$507)+COUNTIF(B$8:B160,B160)-1)</f>
        <v/>
      </c>
      <c r="E160" s="12">
        <f>IF(B160="","",B160/SUM($B$8:$B$507))</f>
        <v/>
      </c>
      <c r="F160" s="11">
        <f>IF(B160="","",IF(G160-E160&lt;$B$2,"A",IF(G160-E160&lt;$B$3,"B","C")))</f>
        <v/>
      </c>
      <c r="G160" s="12">
        <f>IF(B160="","",SUMIF($D$8:$D$507,"&lt;="&amp;D160,$B$8:$B$507)/SUM($B$8:$B$507))</f>
        <v/>
      </c>
    </row>
    <row r="161">
      <c r="A161" s="9" t="n"/>
      <c r="B161" s="9" t="n"/>
      <c r="C161" s="10" t="n"/>
      <c r="D161" s="11">
        <f>IF(B161="","",RANK(B161,$B$8:$B$507)+COUNTIF(B$8:B161,B161)-1)</f>
        <v/>
      </c>
      <c r="E161" s="12">
        <f>IF(B161="","",B161/SUM($B$8:$B$507))</f>
        <v/>
      </c>
      <c r="F161" s="11">
        <f>IF(B161="","",IF(G161-E161&lt;$B$2,"A",IF(G161-E161&lt;$B$3,"B","C")))</f>
        <v/>
      </c>
      <c r="G161" s="12">
        <f>IF(B161="","",SUMIF($D$8:$D$507,"&lt;="&amp;D161,$B$8:$B$507)/SUM($B$8:$B$507))</f>
        <v/>
      </c>
    </row>
    <row r="162">
      <c r="A162" s="9" t="n"/>
      <c r="B162" s="9" t="n"/>
      <c r="C162" s="10" t="n"/>
      <c r="D162" s="11">
        <f>IF(B162="","",RANK(B162,$B$8:$B$507)+COUNTIF(B$8:B162,B162)-1)</f>
        <v/>
      </c>
      <c r="E162" s="12">
        <f>IF(B162="","",B162/SUM($B$8:$B$507))</f>
        <v/>
      </c>
      <c r="F162" s="11">
        <f>IF(B162="","",IF(G162-E162&lt;$B$2,"A",IF(G162-E162&lt;$B$3,"B","C")))</f>
        <v/>
      </c>
      <c r="G162" s="12">
        <f>IF(B162="","",SUMIF($D$8:$D$507,"&lt;="&amp;D162,$B$8:$B$507)/SUM($B$8:$B$507))</f>
        <v/>
      </c>
    </row>
    <row r="163">
      <c r="A163" s="9" t="n"/>
      <c r="B163" s="9" t="n"/>
      <c r="C163" s="10" t="n"/>
      <c r="D163" s="11">
        <f>IF(B163="","",RANK(B163,$B$8:$B$507)+COUNTIF(B$8:B163,B163)-1)</f>
        <v/>
      </c>
      <c r="E163" s="12">
        <f>IF(B163="","",B163/SUM($B$8:$B$507))</f>
        <v/>
      </c>
      <c r="F163" s="11">
        <f>IF(B163="","",IF(G163-E163&lt;$B$2,"A",IF(G163-E163&lt;$B$3,"B","C")))</f>
        <v/>
      </c>
      <c r="G163" s="12">
        <f>IF(B163="","",SUMIF($D$8:$D$507,"&lt;="&amp;D163,$B$8:$B$507)/SUM($B$8:$B$507))</f>
        <v/>
      </c>
    </row>
    <row r="164">
      <c r="A164" s="9" t="n"/>
      <c r="B164" s="9" t="n"/>
      <c r="C164" s="10" t="n"/>
      <c r="D164" s="11">
        <f>IF(B164="","",RANK(B164,$B$8:$B$507)+COUNTIF(B$8:B164,B164)-1)</f>
        <v/>
      </c>
      <c r="E164" s="12">
        <f>IF(B164="","",B164/SUM($B$8:$B$507))</f>
        <v/>
      </c>
      <c r="F164" s="11">
        <f>IF(B164="","",IF(G164-E164&lt;$B$2,"A",IF(G164-E164&lt;$B$3,"B","C")))</f>
        <v/>
      </c>
      <c r="G164" s="12">
        <f>IF(B164="","",SUMIF($D$8:$D$507,"&lt;="&amp;D164,$B$8:$B$507)/SUM($B$8:$B$507))</f>
        <v/>
      </c>
    </row>
    <row r="165">
      <c r="A165" s="9" t="n"/>
      <c r="B165" s="9" t="n"/>
      <c r="C165" s="10" t="n"/>
      <c r="D165" s="11">
        <f>IF(B165="","",RANK(B165,$B$8:$B$507)+COUNTIF(B$8:B165,B165)-1)</f>
        <v/>
      </c>
      <c r="E165" s="12">
        <f>IF(B165="","",B165/SUM($B$8:$B$507))</f>
        <v/>
      </c>
      <c r="F165" s="11">
        <f>IF(B165="","",IF(G165-E165&lt;$B$2,"A",IF(G165-E165&lt;$B$3,"B","C")))</f>
        <v/>
      </c>
      <c r="G165" s="12">
        <f>IF(B165="","",SUMIF($D$8:$D$507,"&lt;="&amp;D165,$B$8:$B$507)/SUM($B$8:$B$507))</f>
        <v/>
      </c>
    </row>
    <row r="166">
      <c r="A166" s="9" t="n"/>
      <c r="B166" s="9" t="n"/>
      <c r="C166" s="10" t="n"/>
      <c r="D166" s="11">
        <f>IF(B166="","",RANK(B166,$B$8:$B$507)+COUNTIF(B$8:B166,B166)-1)</f>
        <v/>
      </c>
      <c r="E166" s="12">
        <f>IF(B166="","",B166/SUM($B$8:$B$507))</f>
        <v/>
      </c>
      <c r="F166" s="11">
        <f>IF(B166="","",IF(G166-E166&lt;$B$2,"A",IF(G166-E166&lt;$B$3,"B","C")))</f>
        <v/>
      </c>
      <c r="G166" s="12">
        <f>IF(B166="","",SUMIF($D$8:$D$507,"&lt;="&amp;D166,$B$8:$B$507)/SUM($B$8:$B$507))</f>
        <v/>
      </c>
    </row>
    <row r="167">
      <c r="A167" s="9" t="n"/>
      <c r="B167" s="9" t="n"/>
      <c r="C167" s="10" t="n"/>
      <c r="D167" s="11">
        <f>IF(B167="","",RANK(B167,$B$8:$B$507)+COUNTIF(B$8:B167,B167)-1)</f>
        <v/>
      </c>
      <c r="E167" s="12">
        <f>IF(B167="","",B167/SUM($B$8:$B$507))</f>
        <v/>
      </c>
      <c r="F167" s="11">
        <f>IF(B167="","",IF(G167-E167&lt;$B$2,"A",IF(G167-E167&lt;$B$3,"B","C")))</f>
        <v/>
      </c>
      <c r="G167" s="12">
        <f>IF(B167="","",SUMIF($D$8:$D$507,"&lt;="&amp;D167,$B$8:$B$507)/SUM($B$8:$B$507))</f>
        <v/>
      </c>
    </row>
    <row r="168">
      <c r="A168" s="9" t="n"/>
      <c r="B168" s="9" t="n"/>
      <c r="C168" s="10" t="n"/>
      <c r="D168" s="11">
        <f>IF(B168="","",RANK(B168,$B$8:$B$507)+COUNTIF(B$8:B168,B168)-1)</f>
        <v/>
      </c>
      <c r="E168" s="12">
        <f>IF(B168="","",B168/SUM($B$8:$B$507))</f>
        <v/>
      </c>
      <c r="F168" s="11">
        <f>IF(B168="","",IF(G168-E168&lt;$B$2,"A",IF(G168-E168&lt;$B$3,"B","C")))</f>
        <v/>
      </c>
      <c r="G168" s="12">
        <f>IF(B168="","",SUMIF($D$8:$D$507,"&lt;="&amp;D168,$B$8:$B$507)/SUM($B$8:$B$507))</f>
        <v/>
      </c>
    </row>
    <row r="169">
      <c r="A169" s="9" t="n"/>
      <c r="B169" s="9" t="n"/>
      <c r="C169" s="10" t="n"/>
      <c r="D169" s="11">
        <f>IF(B169="","",RANK(B169,$B$8:$B$507)+COUNTIF(B$8:B169,B169)-1)</f>
        <v/>
      </c>
      <c r="E169" s="12">
        <f>IF(B169="","",B169/SUM($B$8:$B$507))</f>
        <v/>
      </c>
      <c r="F169" s="11">
        <f>IF(B169="","",IF(G169-E169&lt;$B$2,"A",IF(G169-E169&lt;$B$3,"B","C")))</f>
        <v/>
      </c>
      <c r="G169" s="12">
        <f>IF(B169="","",SUMIF($D$8:$D$507,"&lt;="&amp;D169,$B$8:$B$507)/SUM($B$8:$B$507))</f>
        <v/>
      </c>
    </row>
    <row r="170">
      <c r="A170" s="9" t="n"/>
      <c r="B170" s="9" t="n"/>
      <c r="C170" s="10" t="n"/>
      <c r="D170" s="11">
        <f>IF(B170="","",RANK(B170,$B$8:$B$507)+COUNTIF(B$8:B170,B170)-1)</f>
        <v/>
      </c>
      <c r="E170" s="12">
        <f>IF(B170="","",B170/SUM($B$8:$B$507))</f>
        <v/>
      </c>
      <c r="F170" s="11">
        <f>IF(B170="","",IF(G170-E170&lt;$B$2,"A",IF(G170-E170&lt;$B$3,"B","C")))</f>
        <v/>
      </c>
      <c r="G170" s="12">
        <f>IF(B170="","",SUMIF($D$8:$D$507,"&lt;="&amp;D170,$B$8:$B$507)/SUM($B$8:$B$507))</f>
        <v/>
      </c>
    </row>
    <row r="171">
      <c r="A171" s="9" t="n"/>
      <c r="B171" s="9" t="n"/>
      <c r="C171" s="10" t="n"/>
      <c r="D171" s="11">
        <f>IF(B171="","",RANK(B171,$B$8:$B$507)+COUNTIF(B$8:B171,B171)-1)</f>
        <v/>
      </c>
      <c r="E171" s="12">
        <f>IF(B171="","",B171/SUM($B$8:$B$507))</f>
        <v/>
      </c>
      <c r="F171" s="11">
        <f>IF(B171="","",IF(G171-E171&lt;$B$2,"A",IF(G171-E171&lt;$B$3,"B","C")))</f>
        <v/>
      </c>
      <c r="G171" s="12">
        <f>IF(B171="","",SUMIF($D$8:$D$507,"&lt;="&amp;D171,$B$8:$B$507)/SUM($B$8:$B$507))</f>
        <v/>
      </c>
    </row>
    <row r="172">
      <c r="A172" s="9" t="n"/>
      <c r="B172" s="9" t="n"/>
      <c r="C172" s="10" t="n"/>
      <c r="D172" s="11">
        <f>IF(B172="","",RANK(B172,$B$8:$B$507)+COUNTIF(B$8:B172,B172)-1)</f>
        <v/>
      </c>
      <c r="E172" s="12">
        <f>IF(B172="","",B172/SUM($B$8:$B$507))</f>
        <v/>
      </c>
      <c r="F172" s="11">
        <f>IF(B172="","",IF(G172-E172&lt;$B$2,"A",IF(G172-E172&lt;$B$3,"B","C")))</f>
        <v/>
      </c>
      <c r="G172" s="12">
        <f>IF(B172="","",SUMIF($D$8:$D$507,"&lt;="&amp;D172,$B$8:$B$507)/SUM($B$8:$B$507))</f>
        <v/>
      </c>
    </row>
    <row r="173">
      <c r="A173" s="9" t="n"/>
      <c r="B173" s="9" t="n"/>
      <c r="C173" s="10" t="n"/>
      <c r="D173" s="11">
        <f>IF(B173="","",RANK(B173,$B$8:$B$507)+COUNTIF(B$8:B173,B173)-1)</f>
        <v/>
      </c>
      <c r="E173" s="12">
        <f>IF(B173="","",B173/SUM($B$8:$B$507))</f>
        <v/>
      </c>
      <c r="F173" s="11">
        <f>IF(B173="","",IF(G173-E173&lt;$B$2,"A",IF(G173-E173&lt;$B$3,"B","C")))</f>
        <v/>
      </c>
      <c r="G173" s="12">
        <f>IF(B173="","",SUMIF($D$8:$D$507,"&lt;="&amp;D173,$B$8:$B$507)/SUM($B$8:$B$507))</f>
        <v/>
      </c>
    </row>
    <row r="174">
      <c r="A174" s="9" t="n"/>
      <c r="B174" s="9" t="n"/>
      <c r="C174" s="10" t="n"/>
      <c r="D174" s="11">
        <f>IF(B174="","",RANK(B174,$B$8:$B$507)+COUNTIF(B$8:B174,B174)-1)</f>
        <v/>
      </c>
      <c r="E174" s="12">
        <f>IF(B174="","",B174/SUM($B$8:$B$507))</f>
        <v/>
      </c>
      <c r="F174" s="11">
        <f>IF(B174="","",IF(G174-E174&lt;$B$2,"A",IF(G174-E174&lt;$B$3,"B","C")))</f>
        <v/>
      </c>
      <c r="G174" s="12">
        <f>IF(B174="","",SUMIF($D$8:$D$507,"&lt;="&amp;D174,$B$8:$B$507)/SUM($B$8:$B$507))</f>
        <v/>
      </c>
    </row>
    <row r="175">
      <c r="A175" s="9" t="n"/>
      <c r="B175" s="9" t="n"/>
      <c r="C175" s="10" t="n"/>
      <c r="D175" s="11">
        <f>IF(B175="","",RANK(B175,$B$8:$B$507)+COUNTIF(B$8:B175,B175)-1)</f>
        <v/>
      </c>
      <c r="E175" s="12">
        <f>IF(B175="","",B175/SUM($B$8:$B$507))</f>
        <v/>
      </c>
      <c r="F175" s="11">
        <f>IF(B175="","",IF(G175-E175&lt;$B$2,"A",IF(G175-E175&lt;$B$3,"B","C")))</f>
        <v/>
      </c>
      <c r="G175" s="12">
        <f>IF(B175="","",SUMIF($D$8:$D$507,"&lt;="&amp;D175,$B$8:$B$507)/SUM($B$8:$B$507))</f>
        <v/>
      </c>
    </row>
    <row r="176">
      <c r="A176" s="9" t="n"/>
      <c r="B176" s="9" t="n"/>
      <c r="C176" s="10" t="n"/>
      <c r="D176" s="11">
        <f>IF(B176="","",RANK(B176,$B$8:$B$507)+COUNTIF(B$8:B176,B176)-1)</f>
        <v/>
      </c>
      <c r="E176" s="12">
        <f>IF(B176="","",B176/SUM($B$8:$B$507))</f>
        <v/>
      </c>
      <c r="F176" s="11">
        <f>IF(B176="","",IF(G176-E176&lt;$B$2,"A",IF(G176-E176&lt;$B$3,"B","C")))</f>
        <v/>
      </c>
      <c r="G176" s="12">
        <f>IF(B176="","",SUMIF($D$8:$D$507,"&lt;="&amp;D176,$B$8:$B$507)/SUM($B$8:$B$507))</f>
        <v/>
      </c>
    </row>
    <row r="177">
      <c r="A177" s="9" t="n"/>
      <c r="B177" s="9" t="n"/>
      <c r="C177" s="10" t="n"/>
      <c r="D177" s="11">
        <f>IF(B177="","",RANK(B177,$B$8:$B$507)+COUNTIF(B$8:B177,B177)-1)</f>
        <v/>
      </c>
      <c r="E177" s="12">
        <f>IF(B177="","",B177/SUM($B$8:$B$507))</f>
        <v/>
      </c>
      <c r="F177" s="11">
        <f>IF(B177="","",IF(G177-E177&lt;$B$2,"A",IF(G177-E177&lt;$B$3,"B","C")))</f>
        <v/>
      </c>
      <c r="G177" s="12">
        <f>IF(B177="","",SUMIF($D$8:$D$507,"&lt;="&amp;D177,$B$8:$B$507)/SUM($B$8:$B$507))</f>
        <v/>
      </c>
    </row>
    <row r="178">
      <c r="A178" s="9" t="n"/>
      <c r="B178" s="9" t="n"/>
      <c r="C178" s="10" t="n"/>
      <c r="D178" s="11">
        <f>IF(B178="","",RANK(B178,$B$8:$B$507)+COUNTIF(B$8:B178,B178)-1)</f>
        <v/>
      </c>
      <c r="E178" s="12">
        <f>IF(B178="","",B178/SUM($B$8:$B$507))</f>
        <v/>
      </c>
      <c r="F178" s="11">
        <f>IF(B178="","",IF(G178-E178&lt;$B$2,"A",IF(G178-E178&lt;$B$3,"B","C")))</f>
        <v/>
      </c>
      <c r="G178" s="12">
        <f>IF(B178="","",SUMIF($D$8:$D$507,"&lt;="&amp;D178,$B$8:$B$507)/SUM($B$8:$B$507))</f>
        <v/>
      </c>
    </row>
    <row r="179">
      <c r="A179" s="9" t="n"/>
      <c r="B179" s="9" t="n"/>
      <c r="C179" s="10" t="n"/>
      <c r="D179" s="11">
        <f>IF(B179="","",RANK(B179,$B$8:$B$507)+COUNTIF(B$8:B179,B179)-1)</f>
        <v/>
      </c>
      <c r="E179" s="12">
        <f>IF(B179="","",B179/SUM($B$8:$B$507))</f>
        <v/>
      </c>
      <c r="F179" s="11">
        <f>IF(B179="","",IF(G179-E179&lt;$B$2,"A",IF(G179-E179&lt;$B$3,"B","C")))</f>
        <v/>
      </c>
      <c r="G179" s="12">
        <f>IF(B179="","",SUMIF($D$8:$D$507,"&lt;="&amp;D179,$B$8:$B$507)/SUM($B$8:$B$507))</f>
        <v/>
      </c>
    </row>
    <row r="180">
      <c r="A180" s="9" t="n"/>
      <c r="B180" s="9" t="n"/>
      <c r="C180" s="10" t="n"/>
      <c r="D180" s="11">
        <f>IF(B180="","",RANK(B180,$B$8:$B$507)+COUNTIF(B$8:B180,B180)-1)</f>
        <v/>
      </c>
      <c r="E180" s="12">
        <f>IF(B180="","",B180/SUM($B$8:$B$507))</f>
        <v/>
      </c>
      <c r="F180" s="11">
        <f>IF(B180="","",IF(G180-E180&lt;$B$2,"A",IF(G180-E180&lt;$B$3,"B","C")))</f>
        <v/>
      </c>
      <c r="G180" s="12">
        <f>IF(B180="","",SUMIF($D$8:$D$507,"&lt;="&amp;D180,$B$8:$B$507)/SUM($B$8:$B$507))</f>
        <v/>
      </c>
    </row>
    <row r="181">
      <c r="A181" s="9" t="n"/>
      <c r="B181" s="9" t="n"/>
      <c r="C181" s="10" t="n"/>
      <c r="D181" s="11">
        <f>IF(B181="","",RANK(B181,$B$8:$B$507)+COUNTIF(B$8:B181,B181)-1)</f>
        <v/>
      </c>
      <c r="E181" s="12">
        <f>IF(B181="","",B181/SUM($B$8:$B$507))</f>
        <v/>
      </c>
      <c r="F181" s="11">
        <f>IF(B181="","",IF(G181-E181&lt;$B$2,"A",IF(G181-E181&lt;$B$3,"B","C")))</f>
        <v/>
      </c>
      <c r="G181" s="12">
        <f>IF(B181="","",SUMIF($D$8:$D$507,"&lt;="&amp;D181,$B$8:$B$507)/SUM($B$8:$B$507))</f>
        <v/>
      </c>
    </row>
    <row r="182">
      <c r="A182" s="9" t="n"/>
      <c r="B182" s="9" t="n"/>
      <c r="C182" s="10" t="n"/>
      <c r="D182" s="11">
        <f>IF(B182="","",RANK(B182,$B$8:$B$507)+COUNTIF(B$8:B182,B182)-1)</f>
        <v/>
      </c>
      <c r="E182" s="12">
        <f>IF(B182="","",B182/SUM($B$8:$B$507))</f>
        <v/>
      </c>
      <c r="F182" s="11">
        <f>IF(B182="","",IF(G182-E182&lt;$B$2,"A",IF(G182-E182&lt;$B$3,"B","C")))</f>
        <v/>
      </c>
      <c r="G182" s="12">
        <f>IF(B182="","",SUMIF($D$8:$D$507,"&lt;="&amp;D182,$B$8:$B$507)/SUM($B$8:$B$507))</f>
        <v/>
      </c>
    </row>
    <row r="183">
      <c r="A183" s="9" t="n"/>
      <c r="B183" s="9" t="n"/>
      <c r="C183" s="10" t="n"/>
      <c r="D183" s="11">
        <f>IF(B183="","",RANK(B183,$B$8:$B$507)+COUNTIF(B$8:B183,B183)-1)</f>
        <v/>
      </c>
      <c r="E183" s="12">
        <f>IF(B183="","",B183/SUM($B$8:$B$507))</f>
        <v/>
      </c>
      <c r="F183" s="11">
        <f>IF(B183="","",IF(G183-E183&lt;$B$2,"A",IF(G183-E183&lt;$B$3,"B","C")))</f>
        <v/>
      </c>
      <c r="G183" s="12">
        <f>IF(B183="","",SUMIF($D$8:$D$507,"&lt;="&amp;D183,$B$8:$B$507)/SUM($B$8:$B$507))</f>
        <v/>
      </c>
    </row>
    <row r="184">
      <c r="A184" s="9" t="n"/>
      <c r="B184" s="9" t="n"/>
      <c r="C184" s="10" t="n"/>
      <c r="D184" s="11">
        <f>IF(B184="","",RANK(B184,$B$8:$B$507)+COUNTIF(B$8:B184,B184)-1)</f>
        <v/>
      </c>
      <c r="E184" s="12">
        <f>IF(B184="","",B184/SUM($B$8:$B$507))</f>
        <v/>
      </c>
      <c r="F184" s="11">
        <f>IF(B184="","",IF(G184-E184&lt;$B$2,"A",IF(G184-E184&lt;$B$3,"B","C")))</f>
        <v/>
      </c>
      <c r="G184" s="12">
        <f>IF(B184="","",SUMIF($D$8:$D$507,"&lt;="&amp;D184,$B$8:$B$507)/SUM($B$8:$B$507))</f>
        <v/>
      </c>
    </row>
    <row r="185">
      <c r="A185" s="9" t="n"/>
      <c r="B185" s="9" t="n"/>
      <c r="C185" s="10" t="n"/>
      <c r="D185" s="11">
        <f>IF(B185="","",RANK(B185,$B$8:$B$507)+COUNTIF(B$8:B185,B185)-1)</f>
        <v/>
      </c>
      <c r="E185" s="12">
        <f>IF(B185="","",B185/SUM($B$8:$B$507))</f>
        <v/>
      </c>
      <c r="F185" s="11">
        <f>IF(B185="","",IF(G185-E185&lt;$B$2,"A",IF(G185-E185&lt;$B$3,"B","C")))</f>
        <v/>
      </c>
      <c r="G185" s="12">
        <f>IF(B185="","",SUMIF($D$8:$D$507,"&lt;="&amp;D185,$B$8:$B$507)/SUM($B$8:$B$507))</f>
        <v/>
      </c>
    </row>
    <row r="186">
      <c r="A186" s="9" t="n"/>
      <c r="B186" s="9" t="n"/>
      <c r="C186" s="10" t="n"/>
      <c r="D186" s="11">
        <f>IF(B186="","",RANK(B186,$B$8:$B$507)+COUNTIF(B$8:B186,B186)-1)</f>
        <v/>
      </c>
      <c r="E186" s="12">
        <f>IF(B186="","",B186/SUM($B$8:$B$507))</f>
        <v/>
      </c>
      <c r="F186" s="11">
        <f>IF(B186="","",IF(G186-E186&lt;$B$2,"A",IF(G186-E186&lt;$B$3,"B","C")))</f>
        <v/>
      </c>
      <c r="G186" s="12">
        <f>IF(B186="","",SUMIF($D$8:$D$507,"&lt;="&amp;D186,$B$8:$B$507)/SUM($B$8:$B$507))</f>
        <v/>
      </c>
    </row>
    <row r="187">
      <c r="A187" s="9" t="n"/>
      <c r="B187" s="9" t="n"/>
      <c r="C187" s="10" t="n"/>
      <c r="D187" s="11">
        <f>IF(B187="","",RANK(B187,$B$8:$B$507)+COUNTIF(B$8:B187,B187)-1)</f>
        <v/>
      </c>
      <c r="E187" s="12">
        <f>IF(B187="","",B187/SUM($B$8:$B$507))</f>
        <v/>
      </c>
      <c r="F187" s="11">
        <f>IF(B187="","",IF(G187-E187&lt;$B$2,"A",IF(G187-E187&lt;$B$3,"B","C")))</f>
        <v/>
      </c>
      <c r="G187" s="12">
        <f>IF(B187="","",SUMIF($D$8:$D$507,"&lt;="&amp;D187,$B$8:$B$507)/SUM($B$8:$B$507))</f>
        <v/>
      </c>
    </row>
    <row r="188">
      <c r="A188" s="9" t="n"/>
      <c r="B188" s="9" t="n"/>
      <c r="C188" s="10" t="n"/>
      <c r="D188" s="11">
        <f>IF(B188="","",RANK(B188,$B$8:$B$507)+COUNTIF(B$8:B188,B188)-1)</f>
        <v/>
      </c>
      <c r="E188" s="12">
        <f>IF(B188="","",B188/SUM($B$8:$B$507))</f>
        <v/>
      </c>
      <c r="F188" s="11">
        <f>IF(B188="","",IF(G188-E188&lt;$B$2,"A",IF(G188-E188&lt;$B$3,"B","C")))</f>
        <v/>
      </c>
      <c r="G188" s="12">
        <f>IF(B188="","",SUMIF($D$8:$D$507,"&lt;="&amp;D188,$B$8:$B$507)/SUM($B$8:$B$507))</f>
        <v/>
      </c>
    </row>
    <row r="189">
      <c r="A189" s="9" t="n"/>
      <c r="B189" s="9" t="n"/>
      <c r="C189" s="10" t="n"/>
      <c r="D189" s="11">
        <f>IF(B189="","",RANK(B189,$B$8:$B$507)+COUNTIF(B$8:B189,B189)-1)</f>
        <v/>
      </c>
      <c r="E189" s="12">
        <f>IF(B189="","",B189/SUM($B$8:$B$507))</f>
        <v/>
      </c>
      <c r="F189" s="11">
        <f>IF(B189="","",IF(G189-E189&lt;$B$2,"A",IF(G189-E189&lt;$B$3,"B","C")))</f>
        <v/>
      </c>
      <c r="G189" s="12">
        <f>IF(B189="","",SUMIF($D$8:$D$507,"&lt;="&amp;D189,$B$8:$B$507)/SUM($B$8:$B$507))</f>
        <v/>
      </c>
    </row>
    <row r="190">
      <c r="A190" s="9" t="n"/>
      <c r="B190" s="9" t="n"/>
      <c r="C190" s="10" t="n"/>
      <c r="D190" s="11">
        <f>IF(B190="","",RANK(B190,$B$8:$B$507)+COUNTIF(B$8:B190,B190)-1)</f>
        <v/>
      </c>
      <c r="E190" s="12">
        <f>IF(B190="","",B190/SUM($B$8:$B$507))</f>
        <v/>
      </c>
      <c r="F190" s="11">
        <f>IF(B190="","",IF(G190-E190&lt;$B$2,"A",IF(G190-E190&lt;$B$3,"B","C")))</f>
        <v/>
      </c>
      <c r="G190" s="12">
        <f>IF(B190="","",SUMIF($D$8:$D$507,"&lt;="&amp;D190,$B$8:$B$507)/SUM($B$8:$B$507))</f>
        <v/>
      </c>
    </row>
    <row r="191">
      <c r="A191" s="9" t="n"/>
      <c r="B191" s="9" t="n"/>
      <c r="C191" s="10" t="n"/>
      <c r="D191" s="11">
        <f>IF(B191="","",RANK(B191,$B$8:$B$507)+COUNTIF(B$8:B191,B191)-1)</f>
        <v/>
      </c>
      <c r="E191" s="12">
        <f>IF(B191="","",B191/SUM($B$8:$B$507))</f>
        <v/>
      </c>
      <c r="F191" s="11">
        <f>IF(B191="","",IF(G191-E191&lt;$B$2,"A",IF(G191-E191&lt;$B$3,"B","C")))</f>
        <v/>
      </c>
      <c r="G191" s="12">
        <f>IF(B191="","",SUMIF($D$8:$D$507,"&lt;="&amp;D191,$B$8:$B$507)/SUM($B$8:$B$507))</f>
        <v/>
      </c>
    </row>
    <row r="192">
      <c r="A192" s="9" t="n"/>
      <c r="B192" s="9" t="n"/>
      <c r="C192" s="10" t="n"/>
      <c r="D192" s="11">
        <f>IF(B192="","",RANK(B192,$B$8:$B$507)+COUNTIF(B$8:B192,B192)-1)</f>
        <v/>
      </c>
      <c r="E192" s="12">
        <f>IF(B192="","",B192/SUM($B$8:$B$507))</f>
        <v/>
      </c>
      <c r="F192" s="11">
        <f>IF(B192="","",IF(G192-E192&lt;$B$2,"A",IF(G192-E192&lt;$B$3,"B","C")))</f>
        <v/>
      </c>
      <c r="G192" s="12">
        <f>IF(B192="","",SUMIF($D$8:$D$507,"&lt;="&amp;D192,$B$8:$B$507)/SUM($B$8:$B$507))</f>
        <v/>
      </c>
    </row>
    <row r="193">
      <c r="A193" s="9" t="n"/>
      <c r="B193" s="9" t="n"/>
      <c r="C193" s="10" t="n"/>
      <c r="D193" s="11">
        <f>IF(B193="","",RANK(B193,$B$8:$B$507)+COUNTIF(B$8:B193,B193)-1)</f>
        <v/>
      </c>
      <c r="E193" s="12">
        <f>IF(B193="","",B193/SUM($B$8:$B$507))</f>
        <v/>
      </c>
      <c r="F193" s="11">
        <f>IF(B193="","",IF(G193-E193&lt;$B$2,"A",IF(G193-E193&lt;$B$3,"B","C")))</f>
        <v/>
      </c>
      <c r="G193" s="12">
        <f>IF(B193="","",SUMIF($D$8:$D$507,"&lt;="&amp;D193,$B$8:$B$507)/SUM($B$8:$B$507))</f>
        <v/>
      </c>
    </row>
    <row r="194">
      <c r="A194" s="9" t="n"/>
      <c r="B194" s="9" t="n"/>
      <c r="C194" s="10" t="n"/>
      <c r="D194" s="11">
        <f>IF(B194="","",RANK(B194,$B$8:$B$507)+COUNTIF(B$8:B194,B194)-1)</f>
        <v/>
      </c>
      <c r="E194" s="12">
        <f>IF(B194="","",B194/SUM($B$8:$B$507))</f>
        <v/>
      </c>
      <c r="F194" s="11">
        <f>IF(B194="","",IF(G194-E194&lt;$B$2,"A",IF(G194-E194&lt;$B$3,"B","C")))</f>
        <v/>
      </c>
      <c r="G194" s="12">
        <f>IF(B194="","",SUMIF($D$8:$D$507,"&lt;="&amp;D194,$B$8:$B$507)/SUM($B$8:$B$507))</f>
        <v/>
      </c>
    </row>
    <row r="195">
      <c r="A195" s="9" t="n"/>
      <c r="B195" s="9" t="n"/>
      <c r="C195" s="10" t="n"/>
      <c r="D195" s="11">
        <f>IF(B195="","",RANK(B195,$B$8:$B$507)+COUNTIF(B$8:B195,B195)-1)</f>
        <v/>
      </c>
      <c r="E195" s="12">
        <f>IF(B195="","",B195/SUM($B$8:$B$507))</f>
        <v/>
      </c>
      <c r="F195" s="11">
        <f>IF(B195="","",IF(G195-E195&lt;$B$2,"A",IF(G195-E195&lt;$B$3,"B","C")))</f>
        <v/>
      </c>
      <c r="G195" s="12">
        <f>IF(B195="","",SUMIF($D$8:$D$507,"&lt;="&amp;D195,$B$8:$B$507)/SUM($B$8:$B$507))</f>
        <v/>
      </c>
    </row>
    <row r="196">
      <c r="A196" s="9" t="n"/>
      <c r="B196" s="9" t="n"/>
      <c r="C196" s="10" t="n"/>
      <c r="D196" s="11">
        <f>IF(B196="","",RANK(B196,$B$8:$B$507)+COUNTIF(B$8:B196,B196)-1)</f>
        <v/>
      </c>
      <c r="E196" s="12">
        <f>IF(B196="","",B196/SUM($B$8:$B$507))</f>
        <v/>
      </c>
      <c r="F196" s="11">
        <f>IF(B196="","",IF(G196-E196&lt;$B$2,"A",IF(G196-E196&lt;$B$3,"B","C")))</f>
        <v/>
      </c>
      <c r="G196" s="12">
        <f>IF(B196="","",SUMIF($D$8:$D$507,"&lt;="&amp;D196,$B$8:$B$507)/SUM($B$8:$B$507))</f>
        <v/>
      </c>
    </row>
    <row r="197">
      <c r="A197" s="9" t="n"/>
      <c r="B197" s="9" t="n"/>
      <c r="C197" s="10" t="n"/>
      <c r="D197" s="11">
        <f>IF(B197="","",RANK(B197,$B$8:$B$507)+COUNTIF(B$8:B197,B197)-1)</f>
        <v/>
      </c>
      <c r="E197" s="12">
        <f>IF(B197="","",B197/SUM($B$8:$B$507))</f>
        <v/>
      </c>
      <c r="F197" s="11">
        <f>IF(B197="","",IF(G197-E197&lt;$B$2,"A",IF(G197-E197&lt;$B$3,"B","C")))</f>
        <v/>
      </c>
      <c r="G197" s="12">
        <f>IF(B197="","",SUMIF($D$8:$D$507,"&lt;="&amp;D197,$B$8:$B$507)/SUM($B$8:$B$507))</f>
        <v/>
      </c>
    </row>
    <row r="198">
      <c r="A198" s="9" t="n"/>
      <c r="B198" s="9" t="n"/>
      <c r="C198" s="10" t="n"/>
      <c r="D198" s="11">
        <f>IF(B198="","",RANK(B198,$B$8:$B$507)+COUNTIF(B$8:B198,B198)-1)</f>
        <v/>
      </c>
      <c r="E198" s="12">
        <f>IF(B198="","",B198/SUM($B$8:$B$507))</f>
        <v/>
      </c>
      <c r="F198" s="11">
        <f>IF(B198="","",IF(G198-E198&lt;$B$2,"A",IF(G198-E198&lt;$B$3,"B","C")))</f>
        <v/>
      </c>
      <c r="G198" s="12">
        <f>IF(B198="","",SUMIF($D$8:$D$507,"&lt;="&amp;D198,$B$8:$B$507)/SUM($B$8:$B$507))</f>
        <v/>
      </c>
    </row>
    <row r="199">
      <c r="A199" s="9" t="n"/>
      <c r="B199" s="9" t="n"/>
      <c r="C199" s="10" t="n"/>
      <c r="D199" s="11">
        <f>IF(B199="","",RANK(B199,$B$8:$B$507)+COUNTIF(B$8:B199,B199)-1)</f>
        <v/>
      </c>
      <c r="E199" s="12">
        <f>IF(B199="","",B199/SUM($B$8:$B$507))</f>
        <v/>
      </c>
      <c r="F199" s="11">
        <f>IF(B199="","",IF(G199-E199&lt;$B$2,"A",IF(G199-E199&lt;$B$3,"B","C")))</f>
        <v/>
      </c>
      <c r="G199" s="12">
        <f>IF(B199="","",SUMIF($D$8:$D$507,"&lt;="&amp;D199,$B$8:$B$507)/SUM($B$8:$B$507))</f>
        <v/>
      </c>
    </row>
    <row r="200">
      <c r="A200" s="9" t="n"/>
      <c r="B200" s="9" t="n"/>
      <c r="C200" s="10" t="n"/>
      <c r="D200" s="11">
        <f>IF(B200="","",RANK(B200,$B$8:$B$507)+COUNTIF(B$8:B200,B200)-1)</f>
        <v/>
      </c>
      <c r="E200" s="12">
        <f>IF(B200="","",B200/SUM($B$8:$B$507))</f>
        <v/>
      </c>
      <c r="F200" s="11">
        <f>IF(B200="","",IF(G200-E200&lt;$B$2,"A",IF(G200-E200&lt;$B$3,"B","C")))</f>
        <v/>
      </c>
      <c r="G200" s="12">
        <f>IF(B200="","",SUMIF($D$8:$D$507,"&lt;="&amp;D200,$B$8:$B$507)/SUM($B$8:$B$507))</f>
        <v/>
      </c>
    </row>
    <row r="201">
      <c r="A201" s="9" t="n"/>
      <c r="B201" s="9" t="n"/>
      <c r="C201" s="10" t="n"/>
      <c r="D201" s="11">
        <f>IF(B201="","",RANK(B201,$B$8:$B$507)+COUNTIF(B$8:B201,B201)-1)</f>
        <v/>
      </c>
      <c r="E201" s="12">
        <f>IF(B201="","",B201/SUM($B$8:$B$507))</f>
        <v/>
      </c>
      <c r="F201" s="11">
        <f>IF(B201="","",IF(G201-E201&lt;$B$2,"A",IF(G201-E201&lt;$B$3,"B","C")))</f>
        <v/>
      </c>
      <c r="G201" s="12">
        <f>IF(B201="","",SUMIF($D$8:$D$507,"&lt;="&amp;D201,$B$8:$B$507)/SUM($B$8:$B$507))</f>
        <v/>
      </c>
    </row>
    <row r="202">
      <c r="A202" s="9" t="n"/>
      <c r="B202" s="9" t="n"/>
      <c r="C202" s="10" t="n"/>
      <c r="D202" s="11">
        <f>IF(B202="","",RANK(B202,$B$8:$B$507)+COUNTIF(B$8:B202,B202)-1)</f>
        <v/>
      </c>
      <c r="E202" s="12">
        <f>IF(B202="","",B202/SUM($B$8:$B$507))</f>
        <v/>
      </c>
      <c r="F202" s="11">
        <f>IF(B202="","",IF(G202-E202&lt;$B$2,"A",IF(G202-E202&lt;$B$3,"B","C")))</f>
        <v/>
      </c>
      <c r="G202" s="12">
        <f>IF(B202="","",SUMIF($D$8:$D$507,"&lt;="&amp;D202,$B$8:$B$507)/SUM($B$8:$B$507))</f>
        <v/>
      </c>
    </row>
    <row r="203">
      <c r="A203" s="9" t="n"/>
      <c r="B203" s="9" t="n"/>
      <c r="C203" s="10" t="n"/>
      <c r="D203" s="11">
        <f>IF(B203="","",RANK(B203,$B$8:$B$507)+COUNTIF(B$8:B203,B203)-1)</f>
        <v/>
      </c>
      <c r="E203" s="12">
        <f>IF(B203="","",B203/SUM($B$8:$B$507))</f>
        <v/>
      </c>
      <c r="F203" s="11">
        <f>IF(B203="","",IF(G203-E203&lt;$B$2,"A",IF(G203-E203&lt;$B$3,"B","C")))</f>
        <v/>
      </c>
      <c r="G203" s="12">
        <f>IF(B203="","",SUMIF($D$8:$D$507,"&lt;="&amp;D203,$B$8:$B$507)/SUM($B$8:$B$507))</f>
        <v/>
      </c>
    </row>
    <row r="204">
      <c r="A204" s="9" t="n"/>
      <c r="B204" s="9" t="n"/>
      <c r="C204" s="10" t="n"/>
      <c r="D204" s="11">
        <f>IF(B204="","",RANK(B204,$B$8:$B$507)+COUNTIF(B$8:B204,B204)-1)</f>
        <v/>
      </c>
      <c r="E204" s="12">
        <f>IF(B204="","",B204/SUM($B$8:$B$507))</f>
        <v/>
      </c>
      <c r="F204" s="11">
        <f>IF(B204="","",IF(G204-E204&lt;$B$2,"A",IF(G204-E204&lt;$B$3,"B","C")))</f>
        <v/>
      </c>
      <c r="G204" s="12">
        <f>IF(B204="","",SUMIF($D$8:$D$507,"&lt;="&amp;D204,$B$8:$B$507)/SUM($B$8:$B$507))</f>
        <v/>
      </c>
    </row>
    <row r="205">
      <c r="A205" s="9" t="n"/>
      <c r="B205" s="9" t="n"/>
      <c r="C205" s="10" t="n"/>
      <c r="D205" s="11">
        <f>IF(B205="","",RANK(B205,$B$8:$B$507)+COUNTIF(B$8:B205,B205)-1)</f>
        <v/>
      </c>
      <c r="E205" s="12">
        <f>IF(B205="","",B205/SUM($B$8:$B$507))</f>
        <v/>
      </c>
      <c r="F205" s="11">
        <f>IF(B205="","",IF(G205-E205&lt;$B$2,"A",IF(G205-E205&lt;$B$3,"B","C")))</f>
        <v/>
      </c>
      <c r="G205" s="12">
        <f>IF(B205="","",SUMIF($D$8:$D$507,"&lt;="&amp;D205,$B$8:$B$507)/SUM($B$8:$B$507))</f>
        <v/>
      </c>
    </row>
    <row r="206">
      <c r="A206" s="9" t="n"/>
      <c r="B206" s="9" t="n"/>
      <c r="C206" s="10" t="n"/>
      <c r="D206" s="11">
        <f>IF(B206="","",RANK(B206,$B$8:$B$507)+COUNTIF(B$8:B206,B206)-1)</f>
        <v/>
      </c>
      <c r="E206" s="12">
        <f>IF(B206="","",B206/SUM($B$8:$B$507))</f>
        <v/>
      </c>
      <c r="F206" s="11">
        <f>IF(B206="","",IF(G206-E206&lt;$B$2,"A",IF(G206-E206&lt;$B$3,"B","C")))</f>
        <v/>
      </c>
      <c r="G206" s="12">
        <f>IF(B206="","",SUMIF($D$8:$D$507,"&lt;="&amp;D206,$B$8:$B$507)/SUM($B$8:$B$507))</f>
        <v/>
      </c>
    </row>
    <row r="207">
      <c r="A207" s="9" t="n"/>
      <c r="B207" s="9" t="n"/>
      <c r="C207" s="10" t="n"/>
      <c r="D207" s="11">
        <f>IF(B207="","",RANK(B207,$B$8:$B$507)+COUNTIF(B$8:B207,B207)-1)</f>
        <v/>
      </c>
      <c r="E207" s="12">
        <f>IF(B207="","",B207/SUM($B$8:$B$507))</f>
        <v/>
      </c>
      <c r="F207" s="11">
        <f>IF(B207="","",IF(G207-E207&lt;$B$2,"A",IF(G207-E207&lt;$B$3,"B","C")))</f>
        <v/>
      </c>
      <c r="G207" s="12">
        <f>IF(B207="","",SUMIF($D$8:$D$507,"&lt;="&amp;D207,$B$8:$B$507)/SUM($B$8:$B$507))</f>
        <v/>
      </c>
    </row>
    <row r="208">
      <c r="A208" s="9" t="n"/>
      <c r="B208" s="9" t="n"/>
      <c r="C208" s="10" t="n"/>
      <c r="D208" s="11">
        <f>IF(B208="","",RANK(B208,$B$8:$B$507)+COUNTIF(B$8:B208,B208)-1)</f>
        <v/>
      </c>
      <c r="E208" s="12">
        <f>IF(B208="","",B208/SUM($B$8:$B$507))</f>
        <v/>
      </c>
      <c r="F208" s="11">
        <f>IF(B208="","",IF(G208-E208&lt;$B$2,"A",IF(G208-E208&lt;$B$3,"B","C")))</f>
        <v/>
      </c>
      <c r="G208" s="12">
        <f>IF(B208="","",SUMIF($D$8:$D$507,"&lt;="&amp;D208,$B$8:$B$507)/SUM($B$8:$B$507))</f>
        <v/>
      </c>
    </row>
    <row r="209">
      <c r="A209" s="9" t="n"/>
      <c r="B209" s="9" t="n"/>
      <c r="C209" s="10" t="n"/>
      <c r="D209" s="11">
        <f>IF(B209="","",RANK(B209,$B$8:$B$507)+COUNTIF(B$8:B209,B209)-1)</f>
        <v/>
      </c>
      <c r="E209" s="12">
        <f>IF(B209="","",B209/SUM($B$8:$B$507))</f>
        <v/>
      </c>
      <c r="F209" s="11">
        <f>IF(B209="","",IF(G209-E209&lt;$B$2,"A",IF(G209-E209&lt;$B$3,"B","C")))</f>
        <v/>
      </c>
      <c r="G209" s="12">
        <f>IF(B209="","",SUMIF($D$8:$D$507,"&lt;="&amp;D209,$B$8:$B$507)/SUM($B$8:$B$507))</f>
        <v/>
      </c>
    </row>
    <row r="210">
      <c r="A210" s="9" t="n"/>
      <c r="B210" s="9" t="n"/>
      <c r="C210" s="10" t="n"/>
      <c r="D210" s="11">
        <f>IF(B210="","",RANK(B210,$B$8:$B$507)+COUNTIF(B$8:B210,B210)-1)</f>
        <v/>
      </c>
      <c r="E210" s="12">
        <f>IF(B210="","",B210/SUM($B$8:$B$507))</f>
        <v/>
      </c>
      <c r="F210" s="11">
        <f>IF(B210="","",IF(G210-E210&lt;$B$2,"A",IF(G210-E210&lt;$B$3,"B","C")))</f>
        <v/>
      </c>
      <c r="G210" s="12">
        <f>IF(B210="","",SUMIF($D$8:$D$507,"&lt;="&amp;D210,$B$8:$B$507)/SUM($B$8:$B$507))</f>
        <v/>
      </c>
    </row>
    <row r="211">
      <c r="A211" s="9" t="n"/>
      <c r="B211" s="9" t="n"/>
      <c r="C211" s="10" t="n"/>
      <c r="D211" s="11">
        <f>IF(B211="","",RANK(B211,$B$8:$B$507)+COUNTIF(B$8:B211,B211)-1)</f>
        <v/>
      </c>
      <c r="E211" s="12">
        <f>IF(B211="","",B211/SUM($B$8:$B$507))</f>
        <v/>
      </c>
      <c r="F211" s="11">
        <f>IF(B211="","",IF(G211-E211&lt;$B$2,"A",IF(G211-E211&lt;$B$3,"B","C")))</f>
        <v/>
      </c>
      <c r="G211" s="12">
        <f>IF(B211="","",SUMIF($D$8:$D$507,"&lt;="&amp;D211,$B$8:$B$507)/SUM($B$8:$B$507))</f>
        <v/>
      </c>
    </row>
    <row r="212">
      <c r="A212" s="9" t="n"/>
      <c r="B212" s="9" t="n"/>
      <c r="C212" s="10" t="n"/>
      <c r="D212" s="11">
        <f>IF(B212="","",RANK(B212,$B$8:$B$507)+COUNTIF(B$8:B212,B212)-1)</f>
        <v/>
      </c>
      <c r="E212" s="12">
        <f>IF(B212="","",B212/SUM($B$8:$B$507))</f>
        <v/>
      </c>
      <c r="F212" s="11">
        <f>IF(B212="","",IF(G212-E212&lt;$B$2,"A",IF(G212-E212&lt;$B$3,"B","C")))</f>
        <v/>
      </c>
      <c r="G212" s="12">
        <f>IF(B212="","",SUMIF($D$8:$D$507,"&lt;="&amp;D212,$B$8:$B$507)/SUM($B$8:$B$507))</f>
        <v/>
      </c>
    </row>
    <row r="213">
      <c r="A213" s="9" t="n"/>
      <c r="B213" s="9" t="n"/>
      <c r="C213" s="10" t="n"/>
      <c r="D213" s="11">
        <f>IF(B213="","",RANK(B213,$B$8:$B$507)+COUNTIF(B$8:B213,B213)-1)</f>
        <v/>
      </c>
      <c r="E213" s="12">
        <f>IF(B213="","",B213/SUM($B$8:$B$507))</f>
        <v/>
      </c>
      <c r="F213" s="11">
        <f>IF(B213="","",IF(G213-E213&lt;$B$2,"A",IF(G213-E213&lt;$B$3,"B","C")))</f>
        <v/>
      </c>
      <c r="G213" s="12">
        <f>IF(B213="","",SUMIF($D$8:$D$507,"&lt;="&amp;D213,$B$8:$B$507)/SUM($B$8:$B$507))</f>
        <v/>
      </c>
    </row>
    <row r="214">
      <c r="A214" s="9" t="n"/>
      <c r="B214" s="9" t="n"/>
      <c r="C214" s="10" t="n"/>
      <c r="D214" s="11">
        <f>IF(B214="","",RANK(B214,$B$8:$B$507)+COUNTIF(B$8:B214,B214)-1)</f>
        <v/>
      </c>
      <c r="E214" s="12">
        <f>IF(B214="","",B214/SUM($B$8:$B$507))</f>
        <v/>
      </c>
      <c r="F214" s="11">
        <f>IF(B214="","",IF(G214-E214&lt;$B$2,"A",IF(G214-E214&lt;$B$3,"B","C")))</f>
        <v/>
      </c>
      <c r="G214" s="12">
        <f>IF(B214="","",SUMIF($D$8:$D$507,"&lt;="&amp;D214,$B$8:$B$507)/SUM($B$8:$B$507))</f>
        <v/>
      </c>
    </row>
    <row r="215">
      <c r="A215" s="9" t="n"/>
      <c r="B215" s="9" t="n"/>
      <c r="C215" s="10" t="n"/>
      <c r="D215" s="11">
        <f>IF(B215="","",RANK(B215,$B$8:$B$507)+COUNTIF(B$8:B215,B215)-1)</f>
        <v/>
      </c>
      <c r="E215" s="12">
        <f>IF(B215="","",B215/SUM($B$8:$B$507))</f>
        <v/>
      </c>
      <c r="F215" s="11">
        <f>IF(B215="","",IF(G215-E215&lt;$B$2,"A",IF(G215-E215&lt;$B$3,"B","C")))</f>
        <v/>
      </c>
      <c r="G215" s="12">
        <f>IF(B215="","",SUMIF($D$8:$D$507,"&lt;="&amp;D215,$B$8:$B$507)/SUM($B$8:$B$507))</f>
        <v/>
      </c>
    </row>
    <row r="216">
      <c r="A216" s="9" t="n"/>
      <c r="B216" s="9" t="n"/>
      <c r="C216" s="10" t="n"/>
      <c r="D216" s="11">
        <f>IF(B216="","",RANK(B216,$B$8:$B$507)+COUNTIF(B$8:B216,B216)-1)</f>
        <v/>
      </c>
      <c r="E216" s="12">
        <f>IF(B216="","",B216/SUM($B$8:$B$507))</f>
        <v/>
      </c>
      <c r="F216" s="11">
        <f>IF(B216="","",IF(G216-E216&lt;$B$2,"A",IF(G216-E216&lt;$B$3,"B","C")))</f>
        <v/>
      </c>
      <c r="G216" s="12">
        <f>IF(B216="","",SUMIF($D$8:$D$507,"&lt;="&amp;D216,$B$8:$B$507)/SUM($B$8:$B$507))</f>
        <v/>
      </c>
    </row>
    <row r="217">
      <c r="A217" s="9" t="n"/>
      <c r="B217" s="9" t="n"/>
      <c r="C217" s="10" t="n"/>
      <c r="D217" s="11">
        <f>IF(B217="","",RANK(B217,$B$8:$B$507)+COUNTIF(B$8:B217,B217)-1)</f>
        <v/>
      </c>
      <c r="E217" s="12">
        <f>IF(B217="","",B217/SUM($B$8:$B$507))</f>
        <v/>
      </c>
      <c r="F217" s="11">
        <f>IF(B217="","",IF(G217-E217&lt;$B$2,"A",IF(G217-E217&lt;$B$3,"B","C")))</f>
        <v/>
      </c>
      <c r="G217" s="12">
        <f>IF(B217="","",SUMIF($D$8:$D$507,"&lt;="&amp;D217,$B$8:$B$507)/SUM($B$8:$B$507))</f>
        <v/>
      </c>
    </row>
    <row r="218">
      <c r="A218" s="9" t="n"/>
      <c r="B218" s="9" t="n"/>
      <c r="C218" s="10" t="n"/>
      <c r="D218" s="11">
        <f>IF(B218="","",RANK(B218,$B$8:$B$507)+COUNTIF(B$8:B218,B218)-1)</f>
        <v/>
      </c>
      <c r="E218" s="12">
        <f>IF(B218="","",B218/SUM($B$8:$B$507))</f>
        <v/>
      </c>
      <c r="F218" s="11">
        <f>IF(B218="","",IF(G218-E218&lt;$B$2,"A",IF(G218-E218&lt;$B$3,"B","C")))</f>
        <v/>
      </c>
      <c r="G218" s="12">
        <f>IF(B218="","",SUMIF($D$8:$D$507,"&lt;="&amp;D218,$B$8:$B$507)/SUM($B$8:$B$507))</f>
        <v/>
      </c>
    </row>
    <row r="219">
      <c r="A219" s="9" t="n"/>
      <c r="B219" s="9" t="n"/>
      <c r="C219" s="10" t="n"/>
      <c r="D219" s="11">
        <f>IF(B219="","",RANK(B219,$B$8:$B$507)+COUNTIF(B$8:B219,B219)-1)</f>
        <v/>
      </c>
      <c r="E219" s="12">
        <f>IF(B219="","",B219/SUM($B$8:$B$507))</f>
        <v/>
      </c>
      <c r="F219" s="11">
        <f>IF(B219="","",IF(G219-E219&lt;$B$2,"A",IF(G219-E219&lt;$B$3,"B","C")))</f>
        <v/>
      </c>
      <c r="G219" s="12">
        <f>IF(B219="","",SUMIF($D$8:$D$507,"&lt;="&amp;D219,$B$8:$B$507)/SUM($B$8:$B$507))</f>
        <v/>
      </c>
    </row>
    <row r="220">
      <c r="A220" s="9" t="n"/>
      <c r="B220" s="9" t="n"/>
      <c r="C220" s="10" t="n"/>
      <c r="D220" s="11">
        <f>IF(B220="","",RANK(B220,$B$8:$B$507)+COUNTIF(B$8:B220,B220)-1)</f>
        <v/>
      </c>
      <c r="E220" s="12">
        <f>IF(B220="","",B220/SUM($B$8:$B$507))</f>
        <v/>
      </c>
      <c r="F220" s="11">
        <f>IF(B220="","",IF(G220-E220&lt;$B$2,"A",IF(G220-E220&lt;$B$3,"B","C")))</f>
        <v/>
      </c>
      <c r="G220" s="12">
        <f>IF(B220="","",SUMIF($D$8:$D$507,"&lt;="&amp;D220,$B$8:$B$507)/SUM($B$8:$B$507))</f>
        <v/>
      </c>
    </row>
    <row r="221">
      <c r="A221" s="9" t="n"/>
      <c r="B221" s="9" t="n"/>
      <c r="C221" s="10" t="n"/>
      <c r="D221" s="11">
        <f>IF(B221="","",RANK(B221,$B$8:$B$507)+COUNTIF(B$8:B221,B221)-1)</f>
        <v/>
      </c>
      <c r="E221" s="12">
        <f>IF(B221="","",B221/SUM($B$8:$B$507))</f>
        <v/>
      </c>
      <c r="F221" s="11">
        <f>IF(B221="","",IF(G221-E221&lt;$B$2,"A",IF(G221-E221&lt;$B$3,"B","C")))</f>
        <v/>
      </c>
      <c r="G221" s="12">
        <f>IF(B221="","",SUMIF($D$8:$D$507,"&lt;="&amp;D221,$B$8:$B$507)/SUM($B$8:$B$507))</f>
        <v/>
      </c>
    </row>
    <row r="222">
      <c r="A222" s="9" t="n"/>
      <c r="B222" s="9" t="n"/>
      <c r="C222" s="10" t="n"/>
      <c r="D222" s="11">
        <f>IF(B222="","",RANK(B222,$B$8:$B$507)+COUNTIF(B$8:B222,B222)-1)</f>
        <v/>
      </c>
      <c r="E222" s="12">
        <f>IF(B222="","",B222/SUM($B$8:$B$507))</f>
        <v/>
      </c>
      <c r="F222" s="11">
        <f>IF(B222="","",IF(G222-E222&lt;$B$2,"A",IF(G222-E222&lt;$B$3,"B","C")))</f>
        <v/>
      </c>
      <c r="G222" s="12">
        <f>IF(B222="","",SUMIF($D$8:$D$507,"&lt;="&amp;D222,$B$8:$B$507)/SUM($B$8:$B$507))</f>
        <v/>
      </c>
    </row>
    <row r="223">
      <c r="A223" s="9" t="n"/>
      <c r="B223" s="9" t="n"/>
      <c r="C223" s="10" t="n"/>
      <c r="D223" s="11">
        <f>IF(B223="","",RANK(B223,$B$8:$B$507)+COUNTIF(B$8:B223,B223)-1)</f>
        <v/>
      </c>
      <c r="E223" s="12">
        <f>IF(B223="","",B223/SUM($B$8:$B$507))</f>
        <v/>
      </c>
      <c r="F223" s="11">
        <f>IF(B223="","",IF(G223-E223&lt;$B$2,"A",IF(G223-E223&lt;$B$3,"B","C")))</f>
        <v/>
      </c>
      <c r="G223" s="12">
        <f>IF(B223="","",SUMIF($D$8:$D$507,"&lt;="&amp;D223,$B$8:$B$507)/SUM($B$8:$B$507))</f>
        <v/>
      </c>
    </row>
    <row r="224">
      <c r="A224" s="9" t="n"/>
      <c r="B224" s="9" t="n"/>
      <c r="C224" s="10" t="n"/>
      <c r="D224" s="11">
        <f>IF(B224="","",RANK(B224,$B$8:$B$507)+COUNTIF(B$8:B224,B224)-1)</f>
        <v/>
      </c>
      <c r="E224" s="12">
        <f>IF(B224="","",B224/SUM($B$8:$B$507))</f>
        <v/>
      </c>
      <c r="F224" s="11">
        <f>IF(B224="","",IF(G224-E224&lt;$B$2,"A",IF(G224-E224&lt;$B$3,"B","C")))</f>
        <v/>
      </c>
      <c r="G224" s="12">
        <f>IF(B224="","",SUMIF($D$8:$D$507,"&lt;="&amp;D224,$B$8:$B$507)/SUM($B$8:$B$507))</f>
        <v/>
      </c>
    </row>
    <row r="225">
      <c r="A225" s="9" t="n"/>
      <c r="B225" s="9" t="n"/>
      <c r="C225" s="10" t="n"/>
      <c r="D225" s="11">
        <f>IF(B225="","",RANK(B225,$B$8:$B$507)+COUNTIF(B$8:B225,B225)-1)</f>
        <v/>
      </c>
      <c r="E225" s="12">
        <f>IF(B225="","",B225/SUM($B$8:$B$507))</f>
        <v/>
      </c>
      <c r="F225" s="11">
        <f>IF(B225="","",IF(G225-E225&lt;$B$2,"A",IF(G225-E225&lt;$B$3,"B","C")))</f>
        <v/>
      </c>
      <c r="G225" s="12">
        <f>IF(B225="","",SUMIF($D$8:$D$507,"&lt;="&amp;D225,$B$8:$B$507)/SUM($B$8:$B$507))</f>
        <v/>
      </c>
    </row>
    <row r="226">
      <c r="A226" s="9" t="n"/>
      <c r="B226" s="9" t="n"/>
      <c r="C226" s="10" t="n"/>
      <c r="D226" s="11">
        <f>IF(B226="","",RANK(B226,$B$8:$B$507)+COUNTIF(B$8:B226,B226)-1)</f>
        <v/>
      </c>
      <c r="E226" s="12">
        <f>IF(B226="","",B226/SUM($B$8:$B$507))</f>
        <v/>
      </c>
      <c r="F226" s="11">
        <f>IF(B226="","",IF(G226-E226&lt;$B$2,"A",IF(G226-E226&lt;$B$3,"B","C")))</f>
        <v/>
      </c>
      <c r="G226" s="12">
        <f>IF(B226="","",SUMIF($D$8:$D$507,"&lt;="&amp;D226,$B$8:$B$507)/SUM($B$8:$B$507))</f>
        <v/>
      </c>
    </row>
    <row r="227">
      <c r="A227" s="9" t="n"/>
      <c r="B227" s="9" t="n"/>
      <c r="C227" s="10" t="n"/>
      <c r="D227" s="11">
        <f>IF(B227="","",RANK(B227,$B$8:$B$507)+COUNTIF(B$8:B227,B227)-1)</f>
        <v/>
      </c>
      <c r="E227" s="12">
        <f>IF(B227="","",B227/SUM($B$8:$B$507))</f>
        <v/>
      </c>
      <c r="F227" s="11">
        <f>IF(B227="","",IF(G227-E227&lt;$B$2,"A",IF(G227-E227&lt;$B$3,"B","C")))</f>
        <v/>
      </c>
      <c r="G227" s="12">
        <f>IF(B227="","",SUMIF($D$8:$D$507,"&lt;="&amp;D227,$B$8:$B$507)/SUM($B$8:$B$507))</f>
        <v/>
      </c>
    </row>
    <row r="228">
      <c r="A228" s="9" t="n"/>
      <c r="B228" s="9" t="n"/>
      <c r="C228" s="10" t="n"/>
      <c r="D228" s="11">
        <f>IF(B228="","",RANK(B228,$B$8:$B$507)+COUNTIF(B$8:B228,B228)-1)</f>
        <v/>
      </c>
      <c r="E228" s="12">
        <f>IF(B228="","",B228/SUM($B$8:$B$507))</f>
        <v/>
      </c>
      <c r="F228" s="11">
        <f>IF(B228="","",IF(G228-E228&lt;$B$2,"A",IF(G228-E228&lt;$B$3,"B","C")))</f>
        <v/>
      </c>
      <c r="G228" s="12">
        <f>IF(B228="","",SUMIF($D$8:$D$507,"&lt;="&amp;D228,$B$8:$B$507)/SUM($B$8:$B$507))</f>
        <v/>
      </c>
    </row>
    <row r="229">
      <c r="A229" s="9" t="n"/>
      <c r="B229" s="9" t="n"/>
      <c r="C229" s="10" t="n"/>
      <c r="D229" s="11">
        <f>IF(B229="","",RANK(B229,$B$8:$B$507)+COUNTIF(B$8:B229,B229)-1)</f>
        <v/>
      </c>
      <c r="E229" s="12">
        <f>IF(B229="","",B229/SUM($B$8:$B$507))</f>
        <v/>
      </c>
      <c r="F229" s="11">
        <f>IF(B229="","",IF(G229-E229&lt;$B$2,"A",IF(G229-E229&lt;$B$3,"B","C")))</f>
        <v/>
      </c>
      <c r="G229" s="12">
        <f>IF(B229="","",SUMIF($D$8:$D$507,"&lt;="&amp;D229,$B$8:$B$507)/SUM($B$8:$B$507))</f>
        <v/>
      </c>
    </row>
    <row r="230">
      <c r="A230" s="9" t="n"/>
      <c r="B230" s="9" t="n"/>
      <c r="C230" s="10" t="n"/>
      <c r="D230" s="11">
        <f>IF(B230="","",RANK(B230,$B$8:$B$507)+COUNTIF(B$8:B230,B230)-1)</f>
        <v/>
      </c>
      <c r="E230" s="12">
        <f>IF(B230="","",B230/SUM($B$8:$B$507))</f>
        <v/>
      </c>
      <c r="F230" s="11">
        <f>IF(B230="","",IF(G230-E230&lt;$B$2,"A",IF(G230-E230&lt;$B$3,"B","C")))</f>
        <v/>
      </c>
      <c r="G230" s="12">
        <f>IF(B230="","",SUMIF($D$8:$D$507,"&lt;="&amp;D230,$B$8:$B$507)/SUM($B$8:$B$507))</f>
        <v/>
      </c>
    </row>
    <row r="231">
      <c r="A231" s="9" t="n"/>
      <c r="B231" s="9" t="n"/>
      <c r="C231" s="10" t="n"/>
      <c r="D231" s="11">
        <f>IF(B231="","",RANK(B231,$B$8:$B$507)+COUNTIF(B$8:B231,B231)-1)</f>
        <v/>
      </c>
      <c r="E231" s="12">
        <f>IF(B231="","",B231/SUM($B$8:$B$507))</f>
        <v/>
      </c>
      <c r="F231" s="11">
        <f>IF(B231="","",IF(G231-E231&lt;$B$2,"A",IF(G231-E231&lt;$B$3,"B","C")))</f>
        <v/>
      </c>
      <c r="G231" s="12">
        <f>IF(B231="","",SUMIF($D$8:$D$507,"&lt;="&amp;D231,$B$8:$B$507)/SUM($B$8:$B$507))</f>
        <v/>
      </c>
    </row>
    <row r="232">
      <c r="A232" s="9" t="n"/>
      <c r="B232" s="9" t="n"/>
      <c r="C232" s="10" t="n"/>
      <c r="D232" s="11">
        <f>IF(B232="","",RANK(B232,$B$8:$B$507)+COUNTIF(B$8:B232,B232)-1)</f>
        <v/>
      </c>
      <c r="E232" s="12">
        <f>IF(B232="","",B232/SUM($B$8:$B$507))</f>
        <v/>
      </c>
      <c r="F232" s="11">
        <f>IF(B232="","",IF(G232-E232&lt;$B$2,"A",IF(G232-E232&lt;$B$3,"B","C")))</f>
        <v/>
      </c>
      <c r="G232" s="12">
        <f>IF(B232="","",SUMIF($D$8:$D$507,"&lt;="&amp;D232,$B$8:$B$507)/SUM($B$8:$B$507))</f>
        <v/>
      </c>
    </row>
    <row r="233">
      <c r="A233" s="9" t="n"/>
      <c r="B233" s="9" t="n"/>
      <c r="C233" s="10" t="n"/>
      <c r="D233" s="11">
        <f>IF(B233="","",RANK(B233,$B$8:$B$507)+COUNTIF(B$8:B233,B233)-1)</f>
        <v/>
      </c>
      <c r="E233" s="12">
        <f>IF(B233="","",B233/SUM($B$8:$B$507))</f>
        <v/>
      </c>
      <c r="F233" s="11">
        <f>IF(B233="","",IF(G233-E233&lt;$B$2,"A",IF(G233-E233&lt;$B$3,"B","C")))</f>
        <v/>
      </c>
      <c r="G233" s="12">
        <f>IF(B233="","",SUMIF($D$8:$D$507,"&lt;="&amp;D233,$B$8:$B$507)/SUM($B$8:$B$507))</f>
        <v/>
      </c>
    </row>
    <row r="234">
      <c r="A234" s="9" t="n"/>
      <c r="B234" s="9" t="n"/>
      <c r="C234" s="10" t="n"/>
      <c r="D234" s="11">
        <f>IF(B234="","",RANK(B234,$B$8:$B$507)+COUNTIF(B$8:B234,B234)-1)</f>
        <v/>
      </c>
      <c r="E234" s="12">
        <f>IF(B234="","",B234/SUM($B$8:$B$507))</f>
        <v/>
      </c>
      <c r="F234" s="11">
        <f>IF(B234="","",IF(G234-E234&lt;$B$2,"A",IF(G234-E234&lt;$B$3,"B","C")))</f>
        <v/>
      </c>
      <c r="G234" s="12">
        <f>IF(B234="","",SUMIF($D$8:$D$507,"&lt;="&amp;D234,$B$8:$B$507)/SUM($B$8:$B$507))</f>
        <v/>
      </c>
    </row>
    <row r="235">
      <c r="A235" s="9" t="n"/>
      <c r="B235" s="9" t="n"/>
      <c r="C235" s="10" t="n"/>
      <c r="D235" s="11">
        <f>IF(B235="","",RANK(B235,$B$8:$B$507)+COUNTIF(B$8:B235,B235)-1)</f>
        <v/>
      </c>
      <c r="E235" s="12">
        <f>IF(B235="","",B235/SUM($B$8:$B$507))</f>
        <v/>
      </c>
      <c r="F235" s="11">
        <f>IF(B235="","",IF(G235-E235&lt;$B$2,"A",IF(G235-E235&lt;$B$3,"B","C")))</f>
        <v/>
      </c>
      <c r="G235" s="12">
        <f>IF(B235="","",SUMIF($D$8:$D$507,"&lt;="&amp;D235,$B$8:$B$507)/SUM($B$8:$B$507))</f>
        <v/>
      </c>
    </row>
    <row r="236">
      <c r="A236" s="9" t="n"/>
      <c r="B236" s="9" t="n"/>
      <c r="C236" s="10" t="n"/>
      <c r="D236" s="11">
        <f>IF(B236="","",RANK(B236,$B$8:$B$507)+COUNTIF(B$8:B236,B236)-1)</f>
        <v/>
      </c>
      <c r="E236" s="12">
        <f>IF(B236="","",B236/SUM($B$8:$B$507))</f>
        <v/>
      </c>
      <c r="F236" s="11">
        <f>IF(B236="","",IF(G236-E236&lt;$B$2,"A",IF(G236-E236&lt;$B$3,"B","C")))</f>
        <v/>
      </c>
      <c r="G236" s="12">
        <f>IF(B236="","",SUMIF($D$8:$D$507,"&lt;="&amp;D236,$B$8:$B$507)/SUM($B$8:$B$507))</f>
        <v/>
      </c>
    </row>
    <row r="237">
      <c r="A237" s="9" t="n"/>
      <c r="B237" s="9" t="n"/>
      <c r="C237" s="10" t="n"/>
      <c r="D237" s="11">
        <f>IF(B237="","",RANK(B237,$B$8:$B$507)+COUNTIF(B$8:B237,B237)-1)</f>
        <v/>
      </c>
      <c r="E237" s="12">
        <f>IF(B237="","",B237/SUM($B$8:$B$507))</f>
        <v/>
      </c>
      <c r="F237" s="11">
        <f>IF(B237="","",IF(G237-E237&lt;$B$2,"A",IF(G237-E237&lt;$B$3,"B","C")))</f>
        <v/>
      </c>
      <c r="G237" s="12">
        <f>IF(B237="","",SUMIF($D$8:$D$507,"&lt;="&amp;D237,$B$8:$B$507)/SUM($B$8:$B$507))</f>
        <v/>
      </c>
    </row>
    <row r="238">
      <c r="A238" s="9" t="n"/>
      <c r="B238" s="9" t="n"/>
      <c r="C238" s="10" t="n"/>
      <c r="D238" s="11">
        <f>IF(B238="","",RANK(B238,$B$8:$B$507)+COUNTIF(B$8:B238,B238)-1)</f>
        <v/>
      </c>
      <c r="E238" s="12">
        <f>IF(B238="","",B238/SUM($B$8:$B$507))</f>
        <v/>
      </c>
      <c r="F238" s="11">
        <f>IF(B238="","",IF(G238-E238&lt;$B$2,"A",IF(G238-E238&lt;$B$3,"B","C")))</f>
        <v/>
      </c>
      <c r="G238" s="12">
        <f>IF(B238="","",SUMIF($D$8:$D$507,"&lt;="&amp;D238,$B$8:$B$507)/SUM($B$8:$B$507))</f>
        <v/>
      </c>
    </row>
    <row r="239">
      <c r="A239" s="9" t="n"/>
      <c r="B239" s="9" t="n"/>
      <c r="C239" s="10" t="n"/>
      <c r="D239" s="11">
        <f>IF(B239="","",RANK(B239,$B$8:$B$507)+COUNTIF(B$8:B239,B239)-1)</f>
        <v/>
      </c>
      <c r="E239" s="12">
        <f>IF(B239="","",B239/SUM($B$8:$B$507))</f>
        <v/>
      </c>
      <c r="F239" s="11">
        <f>IF(B239="","",IF(G239-E239&lt;$B$2,"A",IF(G239-E239&lt;$B$3,"B","C")))</f>
        <v/>
      </c>
      <c r="G239" s="12">
        <f>IF(B239="","",SUMIF($D$8:$D$507,"&lt;="&amp;D239,$B$8:$B$507)/SUM($B$8:$B$507))</f>
        <v/>
      </c>
    </row>
    <row r="240">
      <c r="A240" s="9" t="n"/>
      <c r="B240" s="9" t="n"/>
      <c r="C240" s="10" t="n"/>
      <c r="D240" s="11">
        <f>IF(B240="","",RANK(B240,$B$8:$B$507)+COUNTIF(B$8:B240,B240)-1)</f>
        <v/>
      </c>
      <c r="E240" s="12">
        <f>IF(B240="","",B240/SUM($B$8:$B$507))</f>
        <v/>
      </c>
      <c r="F240" s="11">
        <f>IF(B240="","",IF(G240-E240&lt;$B$2,"A",IF(G240-E240&lt;$B$3,"B","C")))</f>
        <v/>
      </c>
      <c r="G240" s="12">
        <f>IF(B240="","",SUMIF($D$8:$D$507,"&lt;="&amp;D240,$B$8:$B$507)/SUM($B$8:$B$507))</f>
        <v/>
      </c>
    </row>
    <row r="241">
      <c r="A241" s="9" t="n"/>
      <c r="B241" s="9" t="n"/>
      <c r="C241" s="10" t="n"/>
      <c r="D241" s="11">
        <f>IF(B241="","",RANK(B241,$B$8:$B$507)+COUNTIF(B$8:B241,B241)-1)</f>
        <v/>
      </c>
      <c r="E241" s="12">
        <f>IF(B241="","",B241/SUM($B$8:$B$507))</f>
        <v/>
      </c>
      <c r="F241" s="11">
        <f>IF(B241="","",IF(G241-E241&lt;$B$2,"A",IF(G241-E241&lt;$B$3,"B","C")))</f>
        <v/>
      </c>
      <c r="G241" s="12">
        <f>IF(B241="","",SUMIF($D$8:$D$507,"&lt;="&amp;D241,$B$8:$B$507)/SUM($B$8:$B$507))</f>
        <v/>
      </c>
    </row>
    <row r="242">
      <c r="A242" s="9" t="n"/>
      <c r="B242" s="9" t="n"/>
      <c r="C242" s="10" t="n"/>
      <c r="D242" s="11">
        <f>IF(B242="","",RANK(B242,$B$8:$B$507)+COUNTIF(B$8:B242,B242)-1)</f>
        <v/>
      </c>
      <c r="E242" s="12">
        <f>IF(B242="","",B242/SUM($B$8:$B$507))</f>
        <v/>
      </c>
      <c r="F242" s="11">
        <f>IF(B242="","",IF(G242-E242&lt;$B$2,"A",IF(G242-E242&lt;$B$3,"B","C")))</f>
        <v/>
      </c>
      <c r="G242" s="12">
        <f>IF(B242="","",SUMIF($D$8:$D$507,"&lt;="&amp;D242,$B$8:$B$507)/SUM($B$8:$B$507))</f>
        <v/>
      </c>
    </row>
    <row r="243">
      <c r="A243" s="9" t="n"/>
      <c r="B243" s="9" t="n"/>
      <c r="C243" s="10" t="n"/>
      <c r="D243" s="11">
        <f>IF(B243="","",RANK(B243,$B$8:$B$507)+COUNTIF(B$8:B243,B243)-1)</f>
        <v/>
      </c>
      <c r="E243" s="12">
        <f>IF(B243="","",B243/SUM($B$8:$B$507))</f>
        <v/>
      </c>
      <c r="F243" s="11">
        <f>IF(B243="","",IF(G243-E243&lt;$B$2,"A",IF(G243-E243&lt;$B$3,"B","C")))</f>
        <v/>
      </c>
      <c r="G243" s="12">
        <f>IF(B243="","",SUMIF($D$8:$D$507,"&lt;="&amp;D243,$B$8:$B$507)/SUM($B$8:$B$507))</f>
        <v/>
      </c>
    </row>
    <row r="244">
      <c r="A244" s="9" t="n"/>
      <c r="B244" s="9" t="n"/>
      <c r="C244" s="10" t="n"/>
      <c r="D244" s="11">
        <f>IF(B244="","",RANK(B244,$B$8:$B$507)+COUNTIF(B$8:B244,B244)-1)</f>
        <v/>
      </c>
      <c r="E244" s="12">
        <f>IF(B244="","",B244/SUM($B$8:$B$507))</f>
        <v/>
      </c>
      <c r="F244" s="11">
        <f>IF(B244="","",IF(G244-E244&lt;$B$2,"A",IF(G244-E244&lt;$B$3,"B","C")))</f>
        <v/>
      </c>
      <c r="G244" s="12">
        <f>IF(B244="","",SUMIF($D$8:$D$507,"&lt;="&amp;D244,$B$8:$B$507)/SUM($B$8:$B$507))</f>
        <v/>
      </c>
    </row>
    <row r="245">
      <c r="A245" s="9" t="n"/>
      <c r="B245" s="9" t="n"/>
      <c r="C245" s="10" t="n"/>
      <c r="D245" s="11">
        <f>IF(B245="","",RANK(B245,$B$8:$B$507)+COUNTIF(B$8:B245,B245)-1)</f>
        <v/>
      </c>
      <c r="E245" s="12">
        <f>IF(B245="","",B245/SUM($B$8:$B$507))</f>
        <v/>
      </c>
      <c r="F245" s="11">
        <f>IF(B245="","",IF(G245-E245&lt;$B$2,"A",IF(G245-E245&lt;$B$3,"B","C")))</f>
        <v/>
      </c>
      <c r="G245" s="12">
        <f>IF(B245="","",SUMIF($D$8:$D$507,"&lt;="&amp;D245,$B$8:$B$507)/SUM($B$8:$B$507))</f>
        <v/>
      </c>
    </row>
    <row r="246">
      <c r="A246" s="9" t="n"/>
      <c r="B246" s="9" t="n"/>
      <c r="C246" s="10" t="n"/>
      <c r="D246" s="11">
        <f>IF(B246="","",RANK(B246,$B$8:$B$507)+COUNTIF(B$8:B246,B246)-1)</f>
        <v/>
      </c>
      <c r="E246" s="12">
        <f>IF(B246="","",B246/SUM($B$8:$B$507))</f>
        <v/>
      </c>
      <c r="F246" s="11">
        <f>IF(B246="","",IF(G246-E246&lt;$B$2,"A",IF(G246-E246&lt;$B$3,"B","C")))</f>
        <v/>
      </c>
      <c r="G246" s="12">
        <f>IF(B246="","",SUMIF($D$8:$D$507,"&lt;="&amp;D246,$B$8:$B$507)/SUM($B$8:$B$507))</f>
        <v/>
      </c>
    </row>
    <row r="247">
      <c r="A247" s="9" t="n"/>
      <c r="B247" s="9" t="n"/>
      <c r="C247" s="10" t="n"/>
      <c r="D247" s="11">
        <f>IF(B247="","",RANK(B247,$B$8:$B$507)+COUNTIF(B$8:B247,B247)-1)</f>
        <v/>
      </c>
      <c r="E247" s="12">
        <f>IF(B247="","",B247/SUM($B$8:$B$507))</f>
        <v/>
      </c>
      <c r="F247" s="11">
        <f>IF(B247="","",IF(G247-E247&lt;$B$2,"A",IF(G247-E247&lt;$B$3,"B","C")))</f>
        <v/>
      </c>
      <c r="G247" s="12">
        <f>IF(B247="","",SUMIF($D$8:$D$507,"&lt;="&amp;D247,$B$8:$B$507)/SUM($B$8:$B$507))</f>
        <v/>
      </c>
    </row>
    <row r="248">
      <c r="A248" s="9" t="n"/>
      <c r="B248" s="9" t="n"/>
      <c r="C248" s="10" t="n"/>
      <c r="D248" s="11">
        <f>IF(B248="","",RANK(B248,$B$8:$B$507)+COUNTIF(B$8:B248,B248)-1)</f>
        <v/>
      </c>
      <c r="E248" s="12">
        <f>IF(B248="","",B248/SUM($B$8:$B$507))</f>
        <v/>
      </c>
      <c r="F248" s="11">
        <f>IF(B248="","",IF(G248-E248&lt;$B$2,"A",IF(G248-E248&lt;$B$3,"B","C")))</f>
        <v/>
      </c>
      <c r="G248" s="12">
        <f>IF(B248="","",SUMIF($D$8:$D$507,"&lt;="&amp;D248,$B$8:$B$507)/SUM($B$8:$B$507))</f>
        <v/>
      </c>
    </row>
    <row r="249">
      <c r="A249" s="9" t="n"/>
      <c r="B249" s="9" t="n"/>
      <c r="C249" s="10" t="n"/>
      <c r="D249" s="11">
        <f>IF(B249="","",RANK(B249,$B$8:$B$507)+COUNTIF(B$8:B249,B249)-1)</f>
        <v/>
      </c>
      <c r="E249" s="12">
        <f>IF(B249="","",B249/SUM($B$8:$B$507))</f>
        <v/>
      </c>
      <c r="F249" s="11">
        <f>IF(B249="","",IF(G249-E249&lt;$B$2,"A",IF(G249-E249&lt;$B$3,"B","C")))</f>
        <v/>
      </c>
      <c r="G249" s="12">
        <f>IF(B249="","",SUMIF($D$8:$D$507,"&lt;="&amp;D249,$B$8:$B$507)/SUM($B$8:$B$507))</f>
        <v/>
      </c>
    </row>
    <row r="250">
      <c r="A250" s="9" t="n"/>
      <c r="B250" s="9" t="n"/>
      <c r="C250" s="10" t="n"/>
      <c r="D250" s="11">
        <f>IF(B250="","",RANK(B250,$B$8:$B$507)+COUNTIF(B$8:B250,B250)-1)</f>
        <v/>
      </c>
      <c r="E250" s="12">
        <f>IF(B250="","",B250/SUM($B$8:$B$507))</f>
        <v/>
      </c>
      <c r="F250" s="11">
        <f>IF(B250="","",IF(G250-E250&lt;$B$2,"A",IF(G250-E250&lt;$B$3,"B","C")))</f>
        <v/>
      </c>
      <c r="G250" s="12">
        <f>IF(B250="","",SUMIF($D$8:$D$507,"&lt;="&amp;D250,$B$8:$B$507)/SUM($B$8:$B$507))</f>
        <v/>
      </c>
    </row>
    <row r="251">
      <c r="A251" s="9" t="n"/>
      <c r="B251" s="9" t="n"/>
      <c r="C251" s="10" t="n"/>
      <c r="D251" s="11">
        <f>IF(B251="","",RANK(B251,$B$8:$B$507)+COUNTIF(B$8:B251,B251)-1)</f>
        <v/>
      </c>
      <c r="E251" s="12">
        <f>IF(B251="","",B251/SUM($B$8:$B$507))</f>
        <v/>
      </c>
      <c r="F251" s="11">
        <f>IF(B251="","",IF(G251-E251&lt;$B$2,"A",IF(G251-E251&lt;$B$3,"B","C")))</f>
        <v/>
      </c>
      <c r="G251" s="12">
        <f>IF(B251="","",SUMIF($D$8:$D$507,"&lt;="&amp;D251,$B$8:$B$507)/SUM($B$8:$B$507))</f>
        <v/>
      </c>
    </row>
    <row r="252">
      <c r="A252" s="9" t="n"/>
      <c r="B252" s="9" t="n"/>
      <c r="C252" s="10" t="n"/>
      <c r="D252" s="11">
        <f>IF(B252="","",RANK(B252,$B$8:$B$507)+COUNTIF(B$8:B252,B252)-1)</f>
        <v/>
      </c>
      <c r="E252" s="12">
        <f>IF(B252="","",B252/SUM($B$8:$B$507))</f>
        <v/>
      </c>
      <c r="F252" s="11">
        <f>IF(B252="","",IF(G252-E252&lt;$B$2,"A",IF(G252-E252&lt;$B$3,"B","C")))</f>
        <v/>
      </c>
      <c r="G252" s="12">
        <f>IF(B252="","",SUMIF($D$8:$D$507,"&lt;="&amp;D252,$B$8:$B$507)/SUM($B$8:$B$507))</f>
        <v/>
      </c>
    </row>
    <row r="253">
      <c r="A253" s="9" t="n"/>
      <c r="B253" s="9" t="n"/>
      <c r="C253" s="10" t="n"/>
      <c r="D253" s="11">
        <f>IF(B253="","",RANK(B253,$B$8:$B$507)+COUNTIF(B$8:B253,B253)-1)</f>
        <v/>
      </c>
      <c r="E253" s="12">
        <f>IF(B253="","",B253/SUM($B$8:$B$507))</f>
        <v/>
      </c>
      <c r="F253" s="11">
        <f>IF(B253="","",IF(G253-E253&lt;$B$2,"A",IF(G253-E253&lt;$B$3,"B","C")))</f>
        <v/>
      </c>
      <c r="G253" s="12">
        <f>IF(B253="","",SUMIF($D$8:$D$507,"&lt;="&amp;D253,$B$8:$B$507)/SUM($B$8:$B$507))</f>
        <v/>
      </c>
    </row>
    <row r="254">
      <c r="A254" s="9" t="n"/>
      <c r="B254" s="9" t="n"/>
      <c r="C254" s="10" t="n"/>
      <c r="D254" s="11">
        <f>IF(B254="","",RANK(B254,$B$8:$B$507)+COUNTIF(B$8:B254,B254)-1)</f>
        <v/>
      </c>
      <c r="E254" s="12">
        <f>IF(B254="","",B254/SUM($B$8:$B$507))</f>
        <v/>
      </c>
      <c r="F254" s="11">
        <f>IF(B254="","",IF(G254-E254&lt;$B$2,"A",IF(G254-E254&lt;$B$3,"B","C")))</f>
        <v/>
      </c>
      <c r="G254" s="12">
        <f>IF(B254="","",SUMIF($D$8:$D$507,"&lt;="&amp;D254,$B$8:$B$507)/SUM($B$8:$B$507))</f>
        <v/>
      </c>
    </row>
    <row r="255">
      <c r="A255" s="9" t="n"/>
      <c r="B255" s="9" t="n"/>
      <c r="C255" s="10" t="n"/>
      <c r="D255" s="11">
        <f>IF(B255="","",RANK(B255,$B$8:$B$507)+COUNTIF(B$8:B255,B255)-1)</f>
        <v/>
      </c>
      <c r="E255" s="12">
        <f>IF(B255="","",B255/SUM($B$8:$B$507))</f>
        <v/>
      </c>
      <c r="F255" s="11">
        <f>IF(B255="","",IF(G255-E255&lt;$B$2,"A",IF(G255-E255&lt;$B$3,"B","C")))</f>
        <v/>
      </c>
      <c r="G255" s="12">
        <f>IF(B255="","",SUMIF($D$8:$D$507,"&lt;="&amp;D255,$B$8:$B$507)/SUM($B$8:$B$507))</f>
        <v/>
      </c>
    </row>
    <row r="256">
      <c r="A256" s="9" t="n"/>
      <c r="B256" s="9" t="n"/>
      <c r="C256" s="10" t="n"/>
      <c r="D256" s="11">
        <f>IF(B256="","",RANK(B256,$B$8:$B$507)+COUNTIF(B$8:B256,B256)-1)</f>
        <v/>
      </c>
      <c r="E256" s="12">
        <f>IF(B256="","",B256/SUM($B$8:$B$507))</f>
        <v/>
      </c>
      <c r="F256" s="11">
        <f>IF(B256="","",IF(G256-E256&lt;$B$2,"A",IF(G256-E256&lt;$B$3,"B","C")))</f>
        <v/>
      </c>
      <c r="G256" s="12">
        <f>IF(B256="","",SUMIF($D$8:$D$507,"&lt;="&amp;D256,$B$8:$B$507)/SUM($B$8:$B$507))</f>
        <v/>
      </c>
    </row>
    <row r="257">
      <c r="A257" s="9" t="n"/>
      <c r="B257" s="9" t="n"/>
      <c r="C257" s="10" t="n"/>
      <c r="D257" s="11">
        <f>IF(B257="","",RANK(B257,$B$8:$B$507)+COUNTIF(B$8:B257,B257)-1)</f>
        <v/>
      </c>
      <c r="E257" s="12">
        <f>IF(B257="","",B257/SUM($B$8:$B$507))</f>
        <v/>
      </c>
      <c r="F257" s="11">
        <f>IF(B257="","",IF(G257-E257&lt;$B$2,"A",IF(G257-E257&lt;$B$3,"B","C")))</f>
        <v/>
      </c>
      <c r="G257" s="12">
        <f>IF(B257="","",SUMIF($D$8:$D$507,"&lt;="&amp;D257,$B$8:$B$507)/SUM($B$8:$B$507))</f>
        <v/>
      </c>
    </row>
    <row r="258">
      <c r="A258" s="9" t="n"/>
      <c r="B258" s="9" t="n"/>
      <c r="C258" s="10" t="n"/>
      <c r="D258" s="11">
        <f>IF(B258="","",RANK(B258,$B$8:$B$507)+COUNTIF(B$8:B258,B258)-1)</f>
        <v/>
      </c>
      <c r="E258" s="12">
        <f>IF(B258="","",B258/SUM($B$8:$B$507))</f>
        <v/>
      </c>
      <c r="F258" s="11">
        <f>IF(B258="","",IF(G258-E258&lt;$B$2,"A",IF(G258-E258&lt;$B$3,"B","C")))</f>
        <v/>
      </c>
      <c r="G258" s="12">
        <f>IF(B258="","",SUMIF($D$8:$D$507,"&lt;="&amp;D258,$B$8:$B$507)/SUM($B$8:$B$507))</f>
        <v/>
      </c>
    </row>
    <row r="259">
      <c r="A259" s="9" t="n"/>
      <c r="B259" s="9" t="n"/>
      <c r="C259" s="10" t="n"/>
      <c r="D259" s="11">
        <f>IF(B259="","",RANK(B259,$B$8:$B$507)+COUNTIF(B$8:B259,B259)-1)</f>
        <v/>
      </c>
      <c r="E259" s="12">
        <f>IF(B259="","",B259/SUM($B$8:$B$507))</f>
        <v/>
      </c>
      <c r="F259" s="11">
        <f>IF(B259="","",IF(G259-E259&lt;$B$2,"A",IF(G259-E259&lt;$B$3,"B","C")))</f>
        <v/>
      </c>
      <c r="G259" s="12">
        <f>IF(B259="","",SUMIF($D$8:$D$507,"&lt;="&amp;D259,$B$8:$B$507)/SUM($B$8:$B$507))</f>
        <v/>
      </c>
    </row>
    <row r="260">
      <c r="A260" s="9" t="n"/>
      <c r="B260" s="9" t="n"/>
      <c r="C260" s="10" t="n"/>
      <c r="D260" s="11">
        <f>IF(B260="","",RANK(B260,$B$8:$B$507)+COUNTIF(B$8:B260,B260)-1)</f>
        <v/>
      </c>
      <c r="E260" s="12">
        <f>IF(B260="","",B260/SUM($B$8:$B$507))</f>
        <v/>
      </c>
      <c r="F260" s="11">
        <f>IF(B260="","",IF(G260-E260&lt;$B$2,"A",IF(G260-E260&lt;$B$3,"B","C")))</f>
        <v/>
      </c>
      <c r="G260" s="12">
        <f>IF(B260="","",SUMIF($D$8:$D$507,"&lt;="&amp;D260,$B$8:$B$507)/SUM($B$8:$B$507))</f>
        <v/>
      </c>
    </row>
    <row r="261">
      <c r="A261" s="9" t="n"/>
      <c r="B261" s="9" t="n"/>
      <c r="C261" s="10" t="n"/>
      <c r="D261" s="11">
        <f>IF(B261="","",RANK(B261,$B$8:$B$507)+COUNTIF(B$8:B261,B261)-1)</f>
        <v/>
      </c>
      <c r="E261" s="12">
        <f>IF(B261="","",B261/SUM($B$8:$B$507))</f>
        <v/>
      </c>
      <c r="F261" s="11">
        <f>IF(B261="","",IF(G261-E261&lt;$B$2,"A",IF(G261-E261&lt;$B$3,"B","C")))</f>
        <v/>
      </c>
      <c r="G261" s="12">
        <f>IF(B261="","",SUMIF($D$8:$D$507,"&lt;="&amp;D261,$B$8:$B$507)/SUM($B$8:$B$507))</f>
        <v/>
      </c>
    </row>
    <row r="262">
      <c r="A262" s="9" t="n"/>
      <c r="B262" s="9" t="n"/>
      <c r="C262" s="10" t="n"/>
      <c r="D262" s="11">
        <f>IF(B262="","",RANK(B262,$B$8:$B$507)+COUNTIF(B$8:B262,B262)-1)</f>
        <v/>
      </c>
      <c r="E262" s="12">
        <f>IF(B262="","",B262/SUM($B$8:$B$507))</f>
        <v/>
      </c>
      <c r="F262" s="11">
        <f>IF(B262="","",IF(G262-E262&lt;$B$2,"A",IF(G262-E262&lt;$B$3,"B","C")))</f>
        <v/>
      </c>
      <c r="G262" s="12">
        <f>IF(B262="","",SUMIF($D$8:$D$507,"&lt;="&amp;D262,$B$8:$B$507)/SUM($B$8:$B$507))</f>
        <v/>
      </c>
    </row>
    <row r="263">
      <c r="A263" s="9" t="n"/>
      <c r="B263" s="9" t="n"/>
      <c r="C263" s="10" t="n"/>
      <c r="D263" s="11">
        <f>IF(B263="","",RANK(B263,$B$8:$B$507)+COUNTIF(B$8:B263,B263)-1)</f>
        <v/>
      </c>
      <c r="E263" s="12">
        <f>IF(B263="","",B263/SUM($B$8:$B$507))</f>
        <v/>
      </c>
      <c r="F263" s="11">
        <f>IF(B263="","",IF(G263-E263&lt;$B$2,"A",IF(G263-E263&lt;$B$3,"B","C")))</f>
        <v/>
      </c>
      <c r="G263" s="12">
        <f>IF(B263="","",SUMIF($D$8:$D$507,"&lt;="&amp;D263,$B$8:$B$507)/SUM($B$8:$B$507))</f>
        <v/>
      </c>
    </row>
    <row r="264">
      <c r="A264" s="9" t="n"/>
      <c r="B264" s="9" t="n"/>
      <c r="C264" s="10" t="n"/>
      <c r="D264" s="11">
        <f>IF(B264="","",RANK(B264,$B$8:$B$507)+COUNTIF(B$8:B264,B264)-1)</f>
        <v/>
      </c>
      <c r="E264" s="12">
        <f>IF(B264="","",B264/SUM($B$8:$B$507))</f>
        <v/>
      </c>
      <c r="F264" s="11">
        <f>IF(B264="","",IF(G264-E264&lt;$B$2,"A",IF(G264-E264&lt;$B$3,"B","C")))</f>
        <v/>
      </c>
      <c r="G264" s="12">
        <f>IF(B264="","",SUMIF($D$8:$D$507,"&lt;="&amp;D264,$B$8:$B$507)/SUM($B$8:$B$507))</f>
        <v/>
      </c>
    </row>
    <row r="265">
      <c r="A265" s="9" t="n"/>
      <c r="B265" s="9" t="n"/>
      <c r="C265" s="10" t="n"/>
      <c r="D265" s="11">
        <f>IF(B265="","",RANK(B265,$B$8:$B$507)+COUNTIF(B$8:B265,B265)-1)</f>
        <v/>
      </c>
      <c r="E265" s="12">
        <f>IF(B265="","",B265/SUM($B$8:$B$507))</f>
        <v/>
      </c>
      <c r="F265" s="11">
        <f>IF(B265="","",IF(G265-E265&lt;$B$2,"A",IF(G265-E265&lt;$B$3,"B","C")))</f>
        <v/>
      </c>
      <c r="G265" s="12">
        <f>IF(B265="","",SUMIF($D$8:$D$507,"&lt;="&amp;D265,$B$8:$B$507)/SUM($B$8:$B$507))</f>
        <v/>
      </c>
    </row>
    <row r="266">
      <c r="A266" s="9" t="n"/>
      <c r="B266" s="9" t="n"/>
      <c r="C266" s="10" t="n"/>
      <c r="D266" s="11">
        <f>IF(B266="","",RANK(B266,$B$8:$B$507)+COUNTIF(B$8:B266,B266)-1)</f>
        <v/>
      </c>
      <c r="E266" s="12">
        <f>IF(B266="","",B266/SUM($B$8:$B$507))</f>
        <v/>
      </c>
      <c r="F266" s="11">
        <f>IF(B266="","",IF(G266-E266&lt;$B$2,"A",IF(G266-E266&lt;$B$3,"B","C")))</f>
        <v/>
      </c>
      <c r="G266" s="12">
        <f>IF(B266="","",SUMIF($D$8:$D$507,"&lt;="&amp;D266,$B$8:$B$507)/SUM($B$8:$B$507))</f>
        <v/>
      </c>
    </row>
    <row r="267">
      <c r="A267" s="9" t="n"/>
      <c r="B267" s="9" t="n"/>
      <c r="C267" s="10" t="n"/>
      <c r="D267" s="11">
        <f>IF(B267="","",RANK(B267,$B$8:$B$507)+COUNTIF(B$8:B267,B267)-1)</f>
        <v/>
      </c>
      <c r="E267" s="12">
        <f>IF(B267="","",B267/SUM($B$8:$B$507))</f>
        <v/>
      </c>
      <c r="F267" s="11">
        <f>IF(B267="","",IF(G267-E267&lt;$B$2,"A",IF(G267-E267&lt;$B$3,"B","C")))</f>
        <v/>
      </c>
      <c r="G267" s="12">
        <f>IF(B267="","",SUMIF($D$8:$D$507,"&lt;="&amp;D267,$B$8:$B$507)/SUM($B$8:$B$507))</f>
        <v/>
      </c>
    </row>
    <row r="268">
      <c r="A268" s="9" t="n"/>
      <c r="B268" s="9" t="n"/>
      <c r="C268" s="10" t="n"/>
      <c r="D268" s="11">
        <f>IF(B268="","",RANK(B268,$B$8:$B$507)+COUNTIF(B$8:B268,B268)-1)</f>
        <v/>
      </c>
      <c r="E268" s="12">
        <f>IF(B268="","",B268/SUM($B$8:$B$507))</f>
        <v/>
      </c>
      <c r="F268" s="11">
        <f>IF(B268="","",IF(G268-E268&lt;$B$2,"A",IF(G268-E268&lt;$B$3,"B","C")))</f>
        <v/>
      </c>
      <c r="G268" s="12">
        <f>IF(B268="","",SUMIF($D$8:$D$507,"&lt;="&amp;D268,$B$8:$B$507)/SUM($B$8:$B$507))</f>
        <v/>
      </c>
    </row>
    <row r="269">
      <c r="A269" s="9" t="n"/>
      <c r="B269" s="9" t="n"/>
      <c r="C269" s="10" t="n"/>
      <c r="D269" s="11">
        <f>IF(B269="","",RANK(B269,$B$8:$B$507)+COUNTIF(B$8:B269,B269)-1)</f>
        <v/>
      </c>
      <c r="E269" s="12">
        <f>IF(B269="","",B269/SUM($B$8:$B$507))</f>
        <v/>
      </c>
      <c r="F269" s="11">
        <f>IF(B269="","",IF(G269-E269&lt;$B$2,"A",IF(G269-E269&lt;$B$3,"B","C")))</f>
        <v/>
      </c>
      <c r="G269" s="12">
        <f>IF(B269="","",SUMIF($D$8:$D$507,"&lt;="&amp;D269,$B$8:$B$507)/SUM($B$8:$B$507))</f>
        <v/>
      </c>
    </row>
    <row r="270">
      <c r="A270" s="9" t="n"/>
      <c r="B270" s="9" t="n"/>
      <c r="C270" s="10" t="n"/>
      <c r="D270" s="11">
        <f>IF(B270="","",RANK(B270,$B$8:$B$507)+COUNTIF(B$8:B270,B270)-1)</f>
        <v/>
      </c>
      <c r="E270" s="12">
        <f>IF(B270="","",B270/SUM($B$8:$B$507))</f>
        <v/>
      </c>
      <c r="F270" s="11">
        <f>IF(B270="","",IF(G270-E270&lt;$B$2,"A",IF(G270-E270&lt;$B$3,"B","C")))</f>
        <v/>
      </c>
      <c r="G270" s="12">
        <f>IF(B270="","",SUMIF($D$8:$D$507,"&lt;="&amp;D270,$B$8:$B$507)/SUM($B$8:$B$507))</f>
        <v/>
      </c>
    </row>
    <row r="271">
      <c r="A271" s="9" t="n"/>
      <c r="B271" s="9" t="n"/>
      <c r="C271" s="10" t="n"/>
      <c r="D271" s="11">
        <f>IF(B271="","",RANK(B271,$B$8:$B$507)+COUNTIF(B$8:B271,B271)-1)</f>
        <v/>
      </c>
      <c r="E271" s="12">
        <f>IF(B271="","",B271/SUM($B$8:$B$507))</f>
        <v/>
      </c>
      <c r="F271" s="11">
        <f>IF(B271="","",IF(G271-E271&lt;$B$2,"A",IF(G271-E271&lt;$B$3,"B","C")))</f>
        <v/>
      </c>
      <c r="G271" s="12">
        <f>IF(B271="","",SUMIF($D$8:$D$507,"&lt;="&amp;D271,$B$8:$B$507)/SUM($B$8:$B$507))</f>
        <v/>
      </c>
    </row>
    <row r="272">
      <c r="A272" s="9" t="n"/>
      <c r="B272" s="9" t="n"/>
      <c r="C272" s="10" t="n"/>
      <c r="D272" s="11">
        <f>IF(B272="","",RANK(B272,$B$8:$B$507)+COUNTIF(B$8:B272,B272)-1)</f>
        <v/>
      </c>
      <c r="E272" s="12">
        <f>IF(B272="","",B272/SUM($B$8:$B$507))</f>
        <v/>
      </c>
      <c r="F272" s="11">
        <f>IF(B272="","",IF(G272-E272&lt;$B$2,"A",IF(G272-E272&lt;$B$3,"B","C")))</f>
        <v/>
      </c>
      <c r="G272" s="12">
        <f>IF(B272="","",SUMIF($D$8:$D$507,"&lt;="&amp;D272,$B$8:$B$507)/SUM($B$8:$B$507))</f>
        <v/>
      </c>
    </row>
    <row r="273">
      <c r="A273" s="9" t="n"/>
      <c r="B273" s="9" t="n"/>
      <c r="C273" s="10" t="n"/>
      <c r="D273" s="11">
        <f>IF(B273="","",RANK(B273,$B$8:$B$507)+COUNTIF(B$8:B273,B273)-1)</f>
        <v/>
      </c>
      <c r="E273" s="12">
        <f>IF(B273="","",B273/SUM($B$8:$B$507))</f>
        <v/>
      </c>
      <c r="F273" s="11">
        <f>IF(B273="","",IF(G273-E273&lt;$B$2,"A",IF(G273-E273&lt;$B$3,"B","C")))</f>
        <v/>
      </c>
      <c r="G273" s="12">
        <f>IF(B273="","",SUMIF($D$8:$D$507,"&lt;="&amp;D273,$B$8:$B$507)/SUM($B$8:$B$507))</f>
        <v/>
      </c>
    </row>
    <row r="274">
      <c r="A274" s="9" t="n"/>
      <c r="B274" s="9" t="n"/>
      <c r="C274" s="10" t="n"/>
      <c r="D274" s="11">
        <f>IF(B274="","",RANK(B274,$B$8:$B$507)+COUNTIF(B$8:B274,B274)-1)</f>
        <v/>
      </c>
      <c r="E274" s="12">
        <f>IF(B274="","",B274/SUM($B$8:$B$507))</f>
        <v/>
      </c>
      <c r="F274" s="11">
        <f>IF(B274="","",IF(G274-E274&lt;$B$2,"A",IF(G274-E274&lt;$B$3,"B","C")))</f>
        <v/>
      </c>
      <c r="G274" s="12">
        <f>IF(B274="","",SUMIF($D$8:$D$507,"&lt;="&amp;D274,$B$8:$B$507)/SUM($B$8:$B$507))</f>
        <v/>
      </c>
    </row>
    <row r="275">
      <c r="A275" s="9" t="n"/>
      <c r="B275" s="9" t="n"/>
      <c r="C275" s="10" t="n"/>
      <c r="D275" s="11">
        <f>IF(B275="","",RANK(B275,$B$8:$B$507)+COUNTIF(B$8:B275,B275)-1)</f>
        <v/>
      </c>
      <c r="E275" s="12">
        <f>IF(B275="","",B275/SUM($B$8:$B$507))</f>
        <v/>
      </c>
      <c r="F275" s="11">
        <f>IF(B275="","",IF(G275-E275&lt;$B$2,"A",IF(G275-E275&lt;$B$3,"B","C")))</f>
        <v/>
      </c>
      <c r="G275" s="12">
        <f>IF(B275="","",SUMIF($D$8:$D$507,"&lt;="&amp;D275,$B$8:$B$507)/SUM($B$8:$B$507))</f>
        <v/>
      </c>
    </row>
    <row r="276">
      <c r="A276" s="9" t="n"/>
      <c r="B276" s="9" t="n"/>
      <c r="C276" s="10" t="n"/>
      <c r="D276" s="11">
        <f>IF(B276="","",RANK(B276,$B$8:$B$507)+COUNTIF(B$8:B276,B276)-1)</f>
        <v/>
      </c>
      <c r="E276" s="12">
        <f>IF(B276="","",B276/SUM($B$8:$B$507))</f>
        <v/>
      </c>
      <c r="F276" s="11">
        <f>IF(B276="","",IF(G276-E276&lt;$B$2,"A",IF(G276-E276&lt;$B$3,"B","C")))</f>
        <v/>
      </c>
      <c r="G276" s="12">
        <f>IF(B276="","",SUMIF($D$8:$D$507,"&lt;="&amp;D276,$B$8:$B$507)/SUM($B$8:$B$507))</f>
        <v/>
      </c>
    </row>
    <row r="277">
      <c r="A277" s="9" t="n"/>
      <c r="B277" s="9" t="n"/>
      <c r="C277" s="10" t="n"/>
      <c r="D277" s="11">
        <f>IF(B277="","",RANK(B277,$B$8:$B$507)+COUNTIF(B$8:B277,B277)-1)</f>
        <v/>
      </c>
      <c r="E277" s="12">
        <f>IF(B277="","",B277/SUM($B$8:$B$507))</f>
        <v/>
      </c>
      <c r="F277" s="11">
        <f>IF(B277="","",IF(G277-E277&lt;$B$2,"A",IF(G277-E277&lt;$B$3,"B","C")))</f>
        <v/>
      </c>
      <c r="G277" s="12">
        <f>IF(B277="","",SUMIF($D$8:$D$507,"&lt;="&amp;D277,$B$8:$B$507)/SUM($B$8:$B$507))</f>
        <v/>
      </c>
    </row>
    <row r="278">
      <c r="A278" s="9" t="n"/>
      <c r="B278" s="9" t="n"/>
      <c r="C278" s="10" t="n"/>
      <c r="D278" s="11">
        <f>IF(B278="","",RANK(B278,$B$8:$B$507)+COUNTIF(B$8:B278,B278)-1)</f>
        <v/>
      </c>
      <c r="E278" s="12">
        <f>IF(B278="","",B278/SUM($B$8:$B$507))</f>
        <v/>
      </c>
      <c r="F278" s="11">
        <f>IF(B278="","",IF(G278-E278&lt;$B$2,"A",IF(G278-E278&lt;$B$3,"B","C")))</f>
        <v/>
      </c>
      <c r="G278" s="12">
        <f>IF(B278="","",SUMIF($D$8:$D$507,"&lt;="&amp;D278,$B$8:$B$507)/SUM($B$8:$B$507))</f>
        <v/>
      </c>
    </row>
    <row r="279">
      <c r="A279" s="9" t="n"/>
      <c r="B279" s="9" t="n"/>
      <c r="C279" s="10" t="n"/>
      <c r="D279" s="11">
        <f>IF(B279="","",RANK(B279,$B$8:$B$507)+COUNTIF(B$8:B279,B279)-1)</f>
        <v/>
      </c>
      <c r="E279" s="12">
        <f>IF(B279="","",B279/SUM($B$8:$B$507))</f>
        <v/>
      </c>
      <c r="F279" s="11">
        <f>IF(B279="","",IF(G279-E279&lt;$B$2,"A",IF(G279-E279&lt;$B$3,"B","C")))</f>
        <v/>
      </c>
      <c r="G279" s="12">
        <f>IF(B279="","",SUMIF($D$8:$D$507,"&lt;="&amp;D279,$B$8:$B$507)/SUM($B$8:$B$507))</f>
        <v/>
      </c>
    </row>
    <row r="280">
      <c r="A280" s="9" t="n"/>
      <c r="B280" s="9" t="n"/>
      <c r="C280" s="10" t="n"/>
      <c r="D280" s="11">
        <f>IF(B280="","",RANK(B280,$B$8:$B$507)+COUNTIF(B$8:B280,B280)-1)</f>
        <v/>
      </c>
      <c r="E280" s="12">
        <f>IF(B280="","",B280/SUM($B$8:$B$507))</f>
        <v/>
      </c>
      <c r="F280" s="11">
        <f>IF(B280="","",IF(G280-E280&lt;$B$2,"A",IF(G280-E280&lt;$B$3,"B","C")))</f>
        <v/>
      </c>
      <c r="G280" s="12">
        <f>IF(B280="","",SUMIF($D$8:$D$507,"&lt;="&amp;D280,$B$8:$B$507)/SUM($B$8:$B$507))</f>
        <v/>
      </c>
    </row>
    <row r="281">
      <c r="A281" s="9" t="n"/>
      <c r="B281" s="9" t="n"/>
      <c r="C281" s="10" t="n"/>
      <c r="D281" s="11">
        <f>IF(B281="","",RANK(B281,$B$8:$B$507)+COUNTIF(B$8:B281,B281)-1)</f>
        <v/>
      </c>
      <c r="E281" s="12">
        <f>IF(B281="","",B281/SUM($B$8:$B$507))</f>
        <v/>
      </c>
      <c r="F281" s="11">
        <f>IF(B281="","",IF(G281-E281&lt;$B$2,"A",IF(G281-E281&lt;$B$3,"B","C")))</f>
        <v/>
      </c>
      <c r="G281" s="12">
        <f>IF(B281="","",SUMIF($D$8:$D$507,"&lt;="&amp;D281,$B$8:$B$507)/SUM($B$8:$B$507))</f>
        <v/>
      </c>
    </row>
    <row r="282">
      <c r="A282" s="9" t="n"/>
      <c r="B282" s="9" t="n"/>
      <c r="C282" s="10" t="n"/>
      <c r="D282" s="11">
        <f>IF(B282="","",RANK(B282,$B$8:$B$507)+COUNTIF(B$8:B282,B282)-1)</f>
        <v/>
      </c>
      <c r="E282" s="12">
        <f>IF(B282="","",B282/SUM($B$8:$B$507))</f>
        <v/>
      </c>
      <c r="F282" s="11">
        <f>IF(B282="","",IF(G282-E282&lt;$B$2,"A",IF(G282-E282&lt;$B$3,"B","C")))</f>
        <v/>
      </c>
      <c r="G282" s="12">
        <f>IF(B282="","",SUMIF($D$8:$D$507,"&lt;="&amp;D282,$B$8:$B$507)/SUM($B$8:$B$507))</f>
        <v/>
      </c>
    </row>
    <row r="283">
      <c r="A283" s="9" t="n"/>
      <c r="B283" s="9" t="n"/>
      <c r="C283" s="10" t="n"/>
      <c r="D283" s="11">
        <f>IF(B283="","",RANK(B283,$B$8:$B$507)+COUNTIF(B$8:B283,B283)-1)</f>
        <v/>
      </c>
      <c r="E283" s="12">
        <f>IF(B283="","",B283/SUM($B$8:$B$507))</f>
        <v/>
      </c>
      <c r="F283" s="11">
        <f>IF(B283="","",IF(G283-E283&lt;$B$2,"A",IF(G283-E283&lt;$B$3,"B","C")))</f>
        <v/>
      </c>
      <c r="G283" s="12">
        <f>IF(B283="","",SUMIF($D$8:$D$507,"&lt;="&amp;D283,$B$8:$B$507)/SUM($B$8:$B$507))</f>
        <v/>
      </c>
    </row>
    <row r="284">
      <c r="A284" s="9" t="n"/>
      <c r="B284" s="9" t="n"/>
      <c r="C284" s="10" t="n"/>
      <c r="D284" s="11">
        <f>IF(B284="","",RANK(B284,$B$8:$B$507)+COUNTIF(B$8:B284,B284)-1)</f>
        <v/>
      </c>
      <c r="E284" s="12">
        <f>IF(B284="","",B284/SUM($B$8:$B$507))</f>
        <v/>
      </c>
      <c r="F284" s="11">
        <f>IF(B284="","",IF(G284-E284&lt;$B$2,"A",IF(G284-E284&lt;$B$3,"B","C")))</f>
        <v/>
      </c>
      <c r="G284" s="12">
        <f>IF(B284="","",SUMIF($D$8:$D$507,"&lt;="&amp;D284,$B$8:$B$507)/SUM($B$8:$B$507))</f>
        <v/>
      </c>
    </row>
    <row r="285">
      <c r="A285" s="9" t="n"/>
      <c r="B285" s="9" t="n"/>
      <c r="C285" s="10" t="n"/>
      <c r="D285" s="11">
        <f>IF(B285="","",RANK(B285,$B$8:$B$507)+COUNTIF(B$8:B285,B285)-1)</f>
        <v/>
      </c>
      <c r="E285" s="12">
        <f>IF(B285="","",B285/SUM($B$8:$B$507))</f>
        <v/>
      </c>
      <c r="F285" s="11">
        <f>IF(B285="","",IF(G285-E285&lt;$B$2,"A",IF(G285-E285&lt;$B$3,"B","C")))</f>
        <v/>
      </c>
      <c r="G285" s="12">
        <f>IF(B285="","",SUMIF($D$8:$D$507,"&lt;="&amp;D285,$B$8:$B$507)/SUM($B$8:$B$507))</f>
        <v/>
      </c>
    </row>
    <row r="286">
      <c r="A286" s="9" t="n"/>
      <c r="B286" s="9" t="n"/>
      <c r="C286" s="10" t="n"/>
      <c r="D286" s="11">
        <f>IF(B286="","",RANK(B286,$B$8:$B$507)+COUNTIF(B$8:B286,B286)-1)</f>
        <v/>
      </c>
      <c r="E286" s="12">
        <f>IF(B286="","",B286/SUM($B$8:$B$507))</f>
        <v/>
      </c>
      <c r="F286" s="11">
        <f>IF(B286="","",IF(G286-E286&lt;$B$2,"A",IF(G286-E286&lt;$B$3,"B","C")))</f>
        <v/>
      </c>
      <c r="G286" s="12">
        <f>IF(B286="","",SUMIF($D$8:$D$507,"&lt;="&amp;D286,$B$8:$B$507)/SUM($B$8:$B$507))</f>
        <v/>
      </c>
    </row>
    <row r="287">
      <c r="A287" s="9" t="n"/>
      <c r="B287" s="9" t="n"/>
      <c r="C287" s="10" t="n"/>
      <c r="D287" s="11">
        <f>IF(B287="","",RANK(B287,$B$8:$B$507)+COUNTIF(B$8:B287,B287)-1)</f>
        <v/>
      </c>
      <c r="E287" s="12">
        <f>IF(B287="","",B287/SUM($B$8:$B$507))</f>
        <v/>
      </c>
      <c r="F287" s="11">
        <f>IF(B287="","",IF(G287-E287&lt;$B$2,"A",IF(G287-E287&lt;$B$3,"B","C")))</f>
        <v/>
      </c>
      <c r="G287" s="12">
        <f>IF(B287="","",SUMIF($D$8:$D$507,"&lt;="&amp;D287,$B$8:$B$507)/SUM($B$8:$B$507))</f>
        <v/>
      </c>
    </row>
    <row r="288">
      <c r="A288" s="9" t="n"/>
      <c r="B288" s="9" t="n"/>
      <c r="C288" s="10" t="n"/>
      <c r="D288" s="11">
        <f>IF(B288="","",RANK(B288,$B$8:$B$507)+COUNTIF(B$8:B288,B288)-1)</f>
        <v/>
      </c>
      <c r="E288" s="12">
        <f>IF(B288="","",B288/SUM($B$8:$B$507))</f>
        <v/>
      </c>
      <c r="F288" s="11">
        <f>IF(B288="","",IF(G288-E288&lt;$B$2,"A",IF(G288-E288&lt;$B$3,"B","C")))</f>
        <v/>
      </c>
      <c r="G288" s="12">
        <f>IF(B288="","",SUMIF($D$8:$D$507,"&lt;="&amp;D288,$B$8:$B$507)/SUM($B$8:$B$507))</f>
        <v/>
      </c>
    </row>
    <row r="289">
      <c r="A289" s="9" t="n"/>
      <c r="B289" s="9" t="n"/>
      <c r="C289" s="10" t="n"/>
      <c r="D289" s="11">
        <f>IF(B289="","",RANK(B289,$B$8:$B$507)+COUNTIF(B$8:B289,B289)-1)</f>
        <v/>
      </c>
      <c r="E289" s="12">
        <f>IF(B289="","",B289/SUM($B$8:$B$507))</f>
        <v/>
      </c>
      <c r="F289" s="11">
        <f>IF(B289="","",IF(G289-E289&lt;$B$2,"A",IF(G289-E289&lt;$B$3,"B","C")))</f>
        <v/>
      </c>
      <c r="G289" s="12">
        <f>IF(B289="","",SUMIF($D$8:$D$507,"&lt;="&amp;D289,$B$8:$B$507)/SUM($B$8:$B$507))</f>
        <v/>
      </c>
    </row>
    <row r="290">
      <c r="A290" s="9" t="n"/>
      <c r="B290" s="9" t="n"/>
      <c r="C290" s="10" t="n"/>
      <c r="D290" s="11">
        <f>IF(B290="","",RANK(B290,$B$8:$B$507)+COUNTIF(B$8:B290,B290)-1)</f>
        <v/>
      </c>
      <c r="E290" s="12">
        <f>IF(B290="","",B290/SUM($B$8:$B$507))</f>
        <v/>
      </c>
      <c r="F290" s="11">
        <f>IF(B290="","",IF(G290-E290&lt;$B$2,"A",IF(G290-E290&lt;$B$3,"B","C")))</f>
        <v/>
      </c>
      <c r="G290" s="12">
        <f>IF(B290="","",SUMIF($D$8:$D$507,"&lt;="&amp;D290,$B$8:$B$507)/SUM($B$8:$B$507))</f>
        <v/>
      </c>
    </row>
    <row r="291">
      <c r="A291" s="9" t="n"/>
      <c r="B291" s="9" t="n"/>
      <c r="C291" s="10" t="n"/>
      <c r="D291" s="11">
        <f>IF(B291="","",RANK(B291,$B$8:$B$507)+COUNTIF(B$8:B291,B291)-1)</f>
        <v/>
      </c>
      <c r="E291" s="12">
        <f>IF(B291="","",B291/SUM($B$8:$B$507))</f>
        <v/>
      </c>
      <c r="F291" s="11">
        <f>IF(B291="","",IF(G291-E291&lt;$B$2,"A",IF(G291-E291&lt;$B$3,"B","C")))</f>
        <v/>
      </c>
      <c r="G291" s="12">
        <f>IF(B291="","",SUMIF($D$8:$D$507,"&lt;="&amp;D291,$B$8:$B$507)/SUM($B$8:$B$507))</f>
        <v/>
      </c>
    </row>
    <row r="292">
      <c r="A292" s="9" t="n"/>
      <c r="B292" s="9" t="n"/>
      <c r="C292" s="10" t="n"/>
      <c r="D292" s="11">
        <f>IF(B292="","",RANK(B292,$B$8:$B$507)+COUNTIF(B$8:B292,B292)-1)</f>
        <v/>
      </c>
      <c r="E292" s="12">
        <f>IF(B292="","",B292/SUM($B$8:$B$507))</f>
        <v/>
      </c>
      <c r="F292" s="11">
        <f>IF(B292="","",IF(G292-E292&lt;$B$2,"A",IF(G292-E292&lt;$B$3,"B","C")))</f>
        <v/>
      </c>
      <c r="G292" s="12">
        <f>IF(B292="","",SUMIF($D$8:$D$507,"&lt;="&amp;D292,$B$8:$B$507)/SUM($B$8:$B$507))</f>
        <v/>
      </c>
    </row>
    <row r="293">
      <c r="A293" s="9" t="n"/>
      <c r="B293" s="9" t="n"/>
      <c r="C293" s="10" t="n"/>
      <c r="D293" s="11">
        <f>IF(B293="","",RANK(B293,$B$8:$B$507)+COUNTIF(B$8:B293,B293)-1)</f>
        <v/>
      </c>
      <c r="E293" s="12">
        <f>IF(B293="","",B293/SUM($B$8:$B$507))</f>
        <v/>
      </c>
      <c r="F293" s="11">
        <f>IF(B293="","",IF(G293-E293&lt;$B$2,"A",IF(G293-E293&lt;$B$3,"B","C")))</f>
        <v/>
      </c>
      <c r="G293" s="12">
        <f>IF(B293="","",SUMIF($D$8:$D$507,"&lt;="&amp;D293,$B$8:$B$507)/SUM($B$8:$B$507))</f>
        <v/>
      </c>
    </row>
    <row r="294">
      <c r="A294" s="9" t="n"/>
      <c r="B294" s="9" t="n"/>
      <c r="C294" s="10" t="n"/>
      <c r="D294" s="11">
        <f>IF(B294="","",RANK(B294,$B$8:$B$507)+COUNTIF(B$8:B294,B294)-1)</f>
        <v/>
      </c>
      <c r="E294" s="12">
        <f>IF(B294="","",B294/SUM($B$8:$B$507))</f>
        <v/>
      </c>
      <c r="F294" s="11">
        <f>IF(B294="","",IF(G294-E294&lt;$B$2,"A",IF(G294-E294&lt;$B$3,"B","C")))</f>
        <v/>
      </c>
      <c r="G294" s="12">
        <f>IF(B294="","",SUMIF($D$8:$D$507,"&lt;="&amp;D294,$B$8:$B$507)/SUM($B$8:$B$507))</f>
        <v/>
      </c>
    </row>
    <row r="295">
      <c r="A295" s="9" t="n"/>
      <c r="B295" s="9" t="n"/>
      <c r="C295" s="10" t="n"/>
      <c r="D295" s="11">
        <f>IF(B295="","",RANK(B295,$B$8:$B$507)+COUNTIF(B$8:B295,B295)-1)</f>
        <v/>
      </c>
      <c r="E295" s="12">
        <f>IF(B295="","",B295/SUM($B$8:$B$507))</f>
        <v/>
      </c>
      <c r="F295" s="11">
        <f>IF(B295="","",IF(G295-E295&lt;$B$2,"A",IF(G295-E295&lt;$B$3,"B","C")))</f>
        <v/>
      </c>
      <c r="G295" s="12">
        <f>IF(B295="","",SUMIF($D$8:$D$507,"&lt;="&amp;D295,$B$8:$B$507)/SUM($B$8:$B$507))</f>
        <v/>
      </c>
    </row>
    <row r="296">
      <c r="A296" s="9" t="n"/>
      <c r="B296" s="9" t="n"/>
      <c r="C296" s="10" t="n"/>
      <c r="D296" s="11">
        <f>IF(B296="","",RANK(B296,$B$8:$B$507)+COUNTIF(B$8:B296,B296)-1)</f>
        <v/>
      </c>
      <c r="E296" s="12">
        <f>IF(B296="","",B296/SUM($B$8:$B$507))</f>
        <v/>
      </c>
      <c r="F296" s="11">
        <f>IF(B296="","",IF(G296-E296&lt;$B$2,"A",IF(G296-E296&lt;$B$3,"B","C")))</f>
        <v/>
      </c>
      <c r="G296" s="12">
        <f>IF(B296="","",SUMIF($D$8:$D$507,"&lt;="&amp;D296,$B$8:$B$507)/SUM($B$8:$B$507))</f>
        <v/>
      </c>
    </row>
    <row r="297">
      <c r="A297" s="9" t="n"/>
      <c r="B297" s="9" t="n"/>
      <c r="C297" s="10" t="n"/>
      <c r="D297" s="11">
        <f>IF(B297="","",RANK(B297,$B$8:$B$507)+COUNTIF(B$8:B297,B297)-1)</f>
        <v/>
      </c>
      <c r="E297" s="12">
        <f>IF(B297="","",B297/SUM($B$8:$B$507))</f>
        <v/>
      </c>
      <c r="F297" s="11">
        <f>IF(B297="","",IF(G297-E297&lt;$B$2,"A",IF(G297-E297&lt;$B$3,"B","C")))</f>
        <v/>
      </c>
      <c r="G297" s="12">
        <f>IF(B297="","",SUMIF($D$8:$D$507,"&lt;="&amp;D297,$B$8:$B$507)/SUM($B$8:$B$507))</f>
        <v/>
      </c>
    </row>
    <row r="298">
      <c r="A298" s="9" t="n"/>
      <c r="B298" s="9" t="n"/>
      <c r="C298" s="10" t="n"/>
      <c r="D298" s="11">
        <f>IF(B298="","",RANK(B298,$B$8:$B$507)+COUNTIF(B$8:B298,B298)-1)</f>
        <v/>
      </c>
      <c r="E298" s="12">
        <f>IF(B298="","",B298/SUM($B$8:$B$507))</f>
        <v/>
      </c>
      <c r="F298" s="11">
        <f>IF(B298="","",IF(G298-E298&lt;$B$2,"A",IF(G298-E298&lt;$B$3,"B","C")))</f>
        <v/>
      </c>
      <c r="G298" s="12">
        <f>IF(B298="","",SUMIF($D$8:$D$507,"&lt;="&amp;D298,$B$8:$B$507)/SUM($B$8:$B$507))</f>
        <v/>
      </c>
    </row>
    <row r="299">
      <c r="A299" s="9" t="n"/>
      <c r="B299" s="9" t="n"/>
      <c r="C299" s="10" t="n"/>
      <c r="D299" s="11">
        <f>IF(B299="","",RANK(B299,$B$8:$B$507)+COUNTIF(B$8:B299,B299)-1)</f>
        <v/>
      </c>
      <c r="E299" s="12">
        <f>IF(B299="","",B299/SUM($B$8:$B$507))</f>
        <v/>
      </c>
      <c r="F299" s="11">
        <f>IF(B299="","",IF(G299-E299&lt;$B$2,"A",IF(G299-E299&lt;$B$3,"B","C")))</f>
        <v/>
      </c>
      <c r="G299" s="12">
        <f>IF(B299="","",SUMIF($D$8:$D$507,"&lt;="&amp;D299,$B$8:$B$507)/SUM($B$8:$B$507))</f>
        <v/>
      </c>
    </row>
    <row r="300">
      <c r="A300" s="9" t="n"/>
      <c r="B300" s="9" t="n"/>
      <c r="C300" s="10" t="n"/>
      <c r="D300" s="11">
        <f>IF(B300="","",RANK(B300,$B$8:$B$507)+COUNTIF(B$8:B300,B300)-1)</f>
        <v/>
      </c>
      <c r="E300" s="12">
        <f>IF(B300="","",B300/SUM($B$8:$B$507))</f>
        <v/>
      </c>
      <c r="F300" s="11">
        <f>IF(B300="","",IF(G300-E300&lt;$B$2,"A",IF(G300-E300&lt;$B$3,"B","C")))</f>
        <v/>
      </c>
      <c r="G300" s="12">
        <f>IF(B300="","",SUMIF($D$8:$D$507,"&lt;="&amp;D300,$B$8:$B$507)/SUM($B$8:$B$507))</f>
        <v/>
      </c>
    </row>
    <row r="301">
      <c r="A301" s="9" t="n"/>
      <c r="B301" s="9" t="n"/>
      <c r="C301" s="10" t="n"/>
      <c r="D301" s="11">
        <f>IF(B301="","",RANK(B301,$B$8:$B$507)+COUNTIF(B$8:B301,B301)-1)</f>
        <v/>
      </c>
      <c r="E301" s="12">
        <f>IF(B301="","",B301/SUM($B$8:$B$507))</f>
        <v/>
      </c>
      <c r="F301" s="11">
        <f>IF(B301="","",IF(G301-E301&lt;$B$2,"A",IF(G301-E301&lt;$B$3,"B","C")))</f>
        <v/>
      </c>
      <c r="G301" s="12">
        <f>IF(B301="","",SUMIF($D$8:$D$507,"&lt;="&amp;D301,$B$8:$B$507)/SUM($B$8:$B$507))</f>
        <v/>
      </c>
    </row>
    <row r="302">
      <c r="A302" s="9" t="n"/>
      <c r="B302" s="9" t="n"/>
      <c r="C302" s="10" t="n"/>
      <c r="D302" s="11">
        <f>IF(B302="","",RANK(B302,$B$8:$B$507)+COUNTIF(B$8:B302,B302)-1)</f>
        <v/>
      </c>
      <c r="E302" s="12">
        <f>IF(B302="","",B302/SUM($B$8:$B$507))</f>
        <v/>
      </c>
      <c r="F302" s="11">
        <f>IF(B302="","",IF(G302-E302&lt;$B$2,"A",IF(G302-E302&lt;$B$3,"B","C")))</f>
        <v/>
      </c>
      <c r="G302" s="12">
        <f>IF(B302="","",SUMIF($D$8:$D$507,"&lt;="&amp;D302,$B$8:$B$507)/SUM($B$8:$B$507))</f>
        <v/>
      </c>
    </row>
    <row r="303">
      <c r="A303" s="9" t="n"/>
      <c r="B303" s="9" t="n"/>
      <c r="C303" s="10" t="n"/>
      <c r="D303" s="11">
        <f>IF(B303="","",RANK(B303,$B$8:$B$507)+COUNTIF(B$8:B303,B303)-1)</f>
        <v/>
      </c>
      <c r="E303" s="12">
        <f>IF(B303="","",B303/SUM($B$8:$B$507))</f>
        <v/>
      </c>
      <c r="F303" s="11">
        <f>IF(B303="","",IF(G303-E303&lt;$B$2,"A",IF(G303-E303&lt;$B$3,"B","C")))</f>
        <v/>
      </c>
      <c r="G303" s="12">
        <f>IF(B303="","",SUMIF($D$8:$D$507,"&lt;="&amp;D303,$B$8:$B$507)/SUM($B$8:$B$507))</f>
        <v/>
      </c>
    </row>
    <row r="304">
      <c r="A304" s="9" t="n"/>
      <c r="B304" s="9" t="n"/>
      <c r="C304" s="10" t="n"/>
      <c r="D304" s="11">
        <f>IF(B304="","",RANK(B304,$B$8:$B$507)+COUNTIF(B$8:B304,B304)-1)</f>
        <v/>
      </c>
      <c r="E304" s="12">
        <f>IF(B304="","",B304/SUM($B$8:$B$507))</f>
        <v/>
      </c>
      <c r="F304" s="11">
        <f>IF(B304="","",IF(G304-E304&lt;$B$2,"A",IF(G304-E304&lt;$B$3,"B","C")))</f>
        <v/>
      </c>
      <c r="G304" s="12">
        <f>IF(B304="","",SUMIF($D$8:$D$507,"&lt;="&amp;D304,$B$8:$B$507)/SUM($B$8:$B$507))</f>
        <v/>
      </c>
    </row>
    <row r="305">
      <c r="A305" s="9" t="n"/>
      <c r="B305" s="9" t="n"/>
      <c r="C305" s="10" t="n"/>
      <c r="D305" s="11">
        <f>IF(B305="","",RANK(B305,$B$8:$B$507)+COUNTIF(B$8:B305,B305)-1)</f>
        <v/>
      </c>
      <c r="E305" s="12">
        <f>IF(B305="","",B305/SUM($B$8:$B$507))</f>
        <v/>
      </c>
      <c r="F305" s="11">
        <f>IF(B305="","",IF(G305-E305&lt;$B$2,"A",IF(G305-E305&lt;$B$3,"B","C")))</f>
        <v/>
      </c>
      <c r="G305" s="12">
        <f>IF(B305="","",SUMIF($D$8:$D$507,"&lt;="&amp;D305,$B$8:$B$507)/SUM($B$8:$B$507))</f>
        <v/>
      </c>
    </row>
    <row r="306">
      <c r="A306" s="9" t="n"/>
      <c r="B306" s="9" t="n"/>
      <c r="C306" s="10" t="n"/>
      <c r="D306" s="11">
        <f>IF(B306="","",RANK(B306,$B$8:$B$507)+COUNTIF(B$8:B306,B306)-1)</f>
        <v/>
      </c>
      <c r="E306" s="12">
        <f>IF(B306="","",B306/SUM($B$8:$B$507))</f>
        <v/>
      </c>
      <c r="F306" s="11">
        <f>IF(B306="","",IF(G306-E306&lt;$B$2,"A",IF(G306-E306&lt;$B$3,"B","C")))</f>
        <v/>
      </c>
      <c r="G306" s="12">
        <f>IF(B306="","",SUMIF($D$8:$D$507,"&lt;="&amp;D306,$B$8:$B$507)/SUM($B$8:$B$507))</f>
        <v/>
      </c>
    </row>
    <row r="307">
      <c r="A307" s="9" t="n"/>
      <c r="B307" s="9" t="n"/>
      <c r="C307" s="10" t="n"/>
      <c r="D307" s="11">
        <f>IF(B307="","",RANK(B307,$B$8:$B$507)+COUNTIF(B$8:B307,B307)-1)</f>
        <v/>
      </c>
      <c r="E307" s="12">
        <f>IF(B307="","",B307/SUM($B$8:$B$507))</f>
        <v/>
      </c>
      <c r="F307" s="11">
        <f>IF(B307="","",IF(G307-E307&lt;$B$2,"A",IF(G307-E307&lt;$B$3,"B","C")))</f>
        <v/>
      </c>
      <c r="G307" s="12">
        <f>IF(B307="","",SUMIF($D$8:$D$507,"&lt;="&amp;D307,$B$8:$B$507)/SUM($B$8:$B$507))</f>
        <v/>
      </c>
    </row>
    <row r="308">
      <c r="A308" s="9" t="n"/>
      <c r="B308" s="9" t="n"/>
      <c r="C308" s="10" t="n"/>
      <c r="D308" s="11">
        <f>IF(B308="","",RANK(B308,$B$8:$B$507)+COUNTIF(B$8:B308,B308)-1)</f>
        <v/>
      </c>
      <c r="E308" s="12">
        <f>IF(B308="","",B308/SUM($B$8:$B$507))</f>
        <v/>
      </c>
      <c r="F308" s="11">
        <f>IF(B308="","",IF(G308-E308&lt;$B$2,"A",IF(G308-E308&lt;$B$3,"B","C")))</f>
        <v/>
      </c>
      <c r="G308" s="12">
        <f>IF(B308="","",SUMIF($D$8:$D$507,"&lt;="&amp;D308,$B$8:$B$507)/SUM($B$8:$B$507))</f>
        <v/>
      </c>
    </row>
    <row r="309">
      <c r="A309" s="9" t="n"/>
      <c r="B309" s="9" t="n"/>
      <c r="C309" s="10" t="n"/>
      <c r="D309" s="11">
        <f>IF(B309="","",RANK(B309,$B$8:$B$507)+COUNTIF(B$8:B309,B309)-1)</f>
        <v/>
      </c>
      <c r="E309" s="12">
        <f>IF(B309="","",B309/SUM($B$8:$B$507))</f>
        <v/>
      </c>
      <c r="F309" s="11">
        <f>IF(B309="","",IF(G309-E309&lt;$B$2,"A",IF(G309-E309&lt;$B$3,"B","C")))</f>
        <v/>
      </c>
      <c r="G309" s="12">
        <f>IF(B309="","",SUMIF($D$8:$D$507,"&lt;="&amp;D309,$B$8:$B$507)/SUM($B$8:$B$507))</f>
        <v/>
      </c>
    </row>
    <row r="310">
      <c r="A310" s="9" t="n"/>
      <c r="B310" s="9" t="n"/>
      <c r="C310" s="10" t="n"/>
      <c r="D310" s="11">
        <f>IF(B310="","",RANK(B310,$B$8:$B$507)+COUNTIF(B$8:B310,B310)-1)</f>
        <v/>
      </c>
      <c r="E310" s="12">
        <f>IF(B310="","",B310/SUM($B$8:$B$507))</f>
        <v/>
      </c>
      <c r="F310" s="11">
        <f>IF(B310="","",IF(G310-E310&lt;$B$2,"A",IF(G310-E310&lt;$B$3,"B","C")))</f>
        <v/>
      </c>
      <c r="G310" s="12">
        <f>IF(B310="","",SUMIF($D$8:$D$507,"&lt;="&amp;D310,$B$8:$B$507)/SUM($B$8:$B$507))</f>
        <v/>
      </c>
    </row>
    <row r="311">
      <c r="A311" s="9" t="n"/>
      <c r="B311" s="9" t="n"/>
      <c r="C311" s="10" t="n"/>
      <c r="D311" s="11">
        <f>IF(B311="","",RANK(B311,$B$8:$B$507)+COUNTIF(B$8:B311,B311)-1)</f>
        <v/>
      </c>
      <c r="E311" s="12">
        <f>IF(B311="","",B311/SUM($B$8:$B$507))</f>
        <v/>
      </c>
      <c r="F311" s="11">
        <f>IF(B311="","",IF(G311-E311&lt;$B$2,"A",IF(G311-E311&lt;$B$3,"B","C")))</f>
        <v/>
      </c>
      <c r="G311" s="12">
        <f>IF(B311="","",SUMIF($D$8:$D$507,"&lt;="&amp;D311,$B$8:$B$507)/SUM($B$8:$B$507))</f>
        <v/>
      </c>
    </row>
    <row r="312">
      <c r="A312" s="9" t="n"/>
      <c r="B312" s="9" t="n"/>
      <c r="C312" s="10" t="n"/>
      <c r="D312" s="11">
        <f>IF(B312="","",RANK(B312,$B$8:$B$507)+COUNTIF(B$8:B312,B312)-1)</f>
        <v/>
      </c>
      <c r="E312" s="12">
        <f>IF(B312="","",B312/SUM($B$8:$B$507))</f>
        <v/>
      </c>
      <c r="F312" s="11">
        <f>IF(B312="","",IF(G312-E312&lt;$B$2,"A",IF(G312-E312&lt;$B$3,"B","C")))</f>
        <v/>
      </c>
      <c r="G312" s="12">
        <f>IF(B312="","",SUMIF($D$8:$D$507,"&lt;="&amp;D312,$B$8:$B$507)/SUM($B$8:$B$507))</f>
        <v/>
      </c>
    </row>
    <row r="313">
      <c r="A313" s="9" t="n"/>
      <c r="B313" s="9" t="n"/>
      <c r="C313" s="10" t="n"/>
      <c r="D313" s="11">
        <f>IF(B313="","",RANK(B313,$B$8:$B$507)+COUNTIF(B$8:B313,B313)-1)</f>
        <v/>
      </c>
      <c r="E313" s="12">
        <f>IF(B313="","",B313/SUM($B$8:$B$507))</f>
        <v/>
      </c>
      <c r="F313" s="11">
        <f>IF(B313="","",IF(G313-E313&lt;$B$2,"A",IF(G313-E313&lt;$B$3,"B","C")))</f>
        <v/>
      </c>
      <c r="G313" s="12">
        <f>IF(B313="","",SUMIF($D$8:$D$507,"&lt;="&amp;D313,$B$8:$B$507)/SUM($B$8:$B$507))</f>
        <v/>
      </c>
    </row>
    <row r="314">
      <c r="A314" s="9" t="n"/>
      <c r="B314" s="9" t="n"/>
      <c r="C314" s="10" t="n"/>
      <c r="D314" s="11">
        <f>IF(B314="","",RANK(B314,$B$8:$B$507)+COUNTIF(B$8:B314,B314)-1)</f>
        <v/>
      </c>
      <c r="E314" s="12">
        <f>IF(B314="","",B314/SUM($B$8:$B$507))</f>
        <v/>
      </c>
      <c r="F314" s="11">
        <f>IF(B314="","",IF(G314-E314&lt;$B$2,"A",IF(G314-E314&lt;$B$3,"B","C")))</f>
        <v/>
      </c>
      <c r="G314" s="12">
        <f>IF(B314="","",SUMIF($D$8:$D$507,"&lt;="&amp;D314,$B$8:$B$507)/SUM($B$8:$B$507))</f>
        <v/>
      </c>
    </row>
    <row r="315">
      <c r="A315" s="9" t="n"/>
      <c r="B315" s="9" t="n"/>
      <c r="C315" s="10" t="n"/>
      <c r="D315" s="11">
        <f>IF(B315="","",RANK(B315,$B$8:$B$507)+COUNTIF(B$8:B315,B315)-1)</f>
        <v/>
      </c>
      <c r="E315" s="12">
        <f>IF(B315="","",B315/SUM($B$8:$B$507))</f>
        <v/>
      </c>
      <c r="F315" s="11">
        <f>IF(B315="","",IF(G315-E315&lt;$B$2,"A",IF(G315-E315&lt;$B$3,"B","C")))</f>
        <v/>
      </c>
      <c r="G315" s="12">
        <f>IF(B315="","",SUMIF($D$8:$D$507,"&lt;="&amp;D315,$B$8:$B$507)/SUM($B$8:$B$507))</f>
        <v/>
      </c>
    </row>
    <row r="316">
      <c r="A316" s="9" t="n"/>
      <c r="B316" s="9" t="n"/>
      <c r="C316" s="10" t="n"/>
      <c r="D316" s="11">
        <f>IF(B316="","",RANK(B316,$B$8:$B$507)+COUNTIF(B$8:B316,B316)-1)</f>
        <v/>
      </c>
      <c r="E316" s="12">
        <f>IF(B316="","",B316/SUM($B$8:$B$507))</f>
        <v/>
      </c>
      <c r="F316" s="11">
        <f>IF(B316="","",IF(G316-E316&lt;$B$2,"A",IF(G316-E316&lt;$B$3,"B","C")))</f>
        <v/>
      </c>
      <c r="G316" s="12">
        <f>IF(B316="","",SUMIF($D$8:$D$507,"&lt;="&amp;D316,$B$8:$B$507)/SUM($B$8:$B$507))</f>
        <v/>
      </c>
    </row>
    <row r="317">
      <c r="A317" s="9" t="n"/>
      <c r="B317" s="9" t="n"/>
      <c r="C317" s="10" t="n"/>
      <c r="D317" s="11">
        <f>IF(B317="","",RANK(B317,$B$8:$B$507)+COUNTIF(B$8:B317,B317)-1)</f>
        <v/>
      </c>
      <c r="E317" s="12">
        <f>IF(B317="","",B317/SUM($B$8:$B$507))</f>
        <v/>
      </c>
      <c r="F317" s="11">
        <f>IF(B317="","",IF(G317-E317&lt;$B$2,"A",IF(G317-E317&lt;$B$3,"B","C")))</f>
        <v/>
      </c>
      <c r="G317" s="12">
        <f>IF(B317="","",SUMIF($D$8:$D$507,"&lt;="&amp;D317,$B$8:$B$507)/SUM($B$8:$B$507))</f>
        <v/>
      </c>
    </row>
    <row r="318">
      <c r="A318" s="9" t="n"/>
      <c r="B318" s="9" t="n"/>
      <c r="C318" s="10" t="n"/>
      <c r="D318" s="11">
        <f>IF(B318="","",RANK(B318,$B$8:$B$507)+COUNTIF(B$8:B318,B318)-1)</f>
        <v/>
      </c>
      <c r="E318" s="12">
        <f>IF(B318="","",B318/SUM($B$8:$B$507))</f>
        <v/>
      </c>
      <c r="F318" s="11">
        <f>IF(B318="","",IF(G318-E318&lt;$B$2,"A",IF(G318-E318&lt;$B$3,"B","C")))</f>
        <v/>
      </c>
      <c r="G318" s="12">
        <f>IF(B318="","",SUMIF($D$8:$D$507,"&lt;="&amp;D318,$B$8:$B$507)/SUM($B$8:$B$507))</f>
        <v/>
      </c>
    </row>
    <row r="319">
      <c r="A319" s="9" t="n"/>
      <c r="B319" s="9" t="n"/>
      <c r="C319" s="10" t="n"/>
      <c r="D319" s="11">
        <f>IF(B319="","",RANK(B319,$B$8:$B$507)+COUNTIF(B$8:B319,B319)-1)</f>
        <v/>
      </c>
      <c r="E319" s="12">
        <f>IF(B319="","",B319/SUM($B$8:$B$507))</f>
        <v/>
      </c>
      <c r="F319" s="11">
        <f>IF(B319="","",IF(G319-E319&lt;$B$2,"A",IF(G319-E319&lt;$B$3,"B","C")))</f>
        <v/>
      </c>
      <c r="G319" s="12">
        <f>IF(B319="","",SUMIF($D$8:$D$507,"&lt;="&amp;D319,$B$8:$B$507)/SUM($B$8:$B$507))</f>
        <v/>
      </c>
    </row>
    <row r="320">
      <c r="A320" s="9" t="n"/>
      <c r="B320" s="9" t="n"/>
      <c r="C320" s="10" t="n"/>
      <c r="D320" s="11">
        <f>IF(B320="","",RANK(B320,$B$8:$B$507)+COUNTIF(B$8:B320,B320)-1)</f>
        <v/>
      </c>
      <c r="E320" s="12">
        <f>IF(B320="","",B320/SUM($B$8:$B$507))</f>
        <v/>
      </c>
      <c r="F320" s="11">
        <f>IF(B320="","",IF(G320-E320&lt;$B$2,"A",IF(G320-E320&lt;$B$3,"B","C")))</f>
        <v/>
      </c>
      <c r="G320" s="12">
        <f>IF(B320="","",SUMIF($D$8:$D$507,"&lt;="&amp;D320,$B$8:$B$507)/SUM($B$8:$B$507))</f>
        <v/>
      </c>
    </row>
    <row r="321">
      <c r="A321" s="9" t="n"/>
      <c r="B321" s="9" t="n"/>
      <c r="C321" s="10" t="n"/>
      <c r="D321" s="11">
        <f>IF(B321="","",RANK(B321,$B$8:$B$507)+COUNTIF(B$8:B321,B321)-1)</f>
        <v/>
      </c>
      <c r="E321" s="12">
        <f>IF(B321="","",B321/SUM($B$8:$B$507))</f>
        <v/>
      </c>
      <c r="F321" s="11">
        <f>IF(B321="","",IF(G321-E321&lt;$B$2,"A",IF(G321-E321&lt;$B$3,"B","C")))</f>
        <v/>
      </c>
      <c r="G321" s="12">
        <f>IF(B321="","",SUMIF($D$8:$D$507,"&lt;="&amp;D321,$B$8:$B$507)/SUM($B$8:$B$507))</f>
        <v/>
      </c>
    </row>
    <row r="322">
      <c r="A322" s="9" t="n"/>
      <c r="B322" s="9" t="n"/>
      <c r="C322" s="10" t="n"/>
      <c r="D322" s="11">
        <f>IF(B322="","",RANK(B322,$B$8:$B$507)+COUNTIF(B$8:B322,B322)-1)</f>
        <v/>
      </c>
      <c r="E322" s="12">
        <f>IF(B322="","",B322/SUM($B$8:$B$507))</f>
        <v/>
      </c>
      <c r="F322" s="11">
        <f>IF(B322="","",IF(G322-E322&lt;$B$2,"A",IF(G322-E322&lt;$B$3,"B","C")))</f>
        <v/>
      </c>
      <c r="G322" s="12">
        <f>IF(B322="","",SUMIF($D$8:$D$507,"&lt;="&amp;D322,$B$8:$B$507)/SUM($B$8:$B$507))</f>
        <v/>
      </c>
    </row>
    <row r="323">
      <c r="A323" s="9" t="n"/>
      <c r="B323" s="9" t="n"/>
      <c r="C323" s="10" t="n"/>
      <c r="D323" s="11">
        <f>IF(B323="","",RANK(B323,$B$8:$B$507)+COUNTIF(B$8:B323,B323)-1)</f>
        <v/>
      </c>
      <c r="E323" s="12">
        <f>IF(B323="","",B323/SUM($B$8:$B$507))</f>
        <v/>
      </c>
      <c r="F323" s="11">
        <f>IF(B323="","",IF(G323-E323&lt;$B$2,"A",IF(G323-E323&lt;$B$3,"B","C")))</f>
        <v/>
      </c>
      <c r="G323" s="12">
        <f>IF(B323="","",SUMIF($D$8:$D$507,"&lt;="&amp;D323,$B$8:$B$507)/SUM($B$8:$B$507))</f>
        <v/>
      </c>
    </row>
    <row r="324">
      <c r="A324" s="9" t="n"/>
      <c r="B324" s="9" t="n"/>
      <c r="C324" s="10" t="n"/>
      <c r="D324" s="11">
        <f>IF(B324="","",RANK(B324,$B$8:$B$507)+COUNTIF(B$8:B324,B324)-1)</f>
        <v/>
      </c>
      <c r="E324" s="12">
        <f>IF(B324="","",B324/SUM($B$8:$B$507))</f>
        <v/>
      </c>
      <c r="F324" s="11">
        <f>IF(B324="","",IF(G324-E324&lt;$B$2,"A",IF(G324-E324&lt;$B$3,"B","C")))</f>
        <v/>
      </c>
      <c r="G324" s="12">
        <f>IF(B324="","",SUMIF($D$8:$D$507,"&lt;="&amp;D324,$B$8:$B$507)/SUM($B$8:$B$507))</f>
        <v/>
      </c>
    </row>
    <row r="325">
      <c r="A325" s="9" t="n"/>
      <c r="B325" s="9" t="n"/>
      <c r="C325" s="10" t="n"/>
      <c r="D325" s="11">
        <f>IF(B325="","",RANK(B325,$B$8:$B$507)+COUNTIF(B$8:B325,B325)-1)</f>
        <v/>
      </c>
      <c r="E325" s="12">
        <f>IF(B325="","",B325/SUM($B$8:$B$507))</f>
        <v/>
      </c>
      <c r="F325" s="11">
        <f>IF(B325="","",IF(G325-E325&lt;$B$2,"A",IF(G325-E325&lt;$B$3,"B","C")))</f>
        <v/>
      </c>
      <c r="G325" s="12">
        <f>IF(B325="","",SUMIF($D$8:$D$507,"&lt;="&amp;D325,$B$8:$B$507)/SUM($B$8:$B$507))</f>
        <v/>
      </c>
    </row>
    <row r="326">
      <c r="A326" s="9" t="n"/>
      <c r="B326" s="9" t="n"/>
      <c r="C326" s="10" t="n"/>
      <c r="D326" s="11">
        <f>IF(B326="","",RANK(B326,$B$8:$B$507)+COUNTIF(B$8:B326,B326)-1)</f>
        <v/>
      </c>
      <c r="E326" s="12">
        <f>IF(B326="","",B326/SUM($B$8:$B$507))</f>
        <v/>
      </c>
      <c r="F326" s="11">
        <f>IF(B326="","",IF(G326-E326&lt;$B$2,"A",IF(G326-E326&lt;$B$3,"B","C")))</f>
        <v/>
      </c>
      <c r="G326" s="12">
        <f>IF(B326="","",SUMIF($D$8:$D$507,"&lt;="&amp;D326,$B$8:$B$507)/SUM($B$8:$B$507))</f>
        <v/>
      </c>
    </row>
    <row r="327">
      <c r="A327" s="9" t="n"/>
      <c r="B327" s="9" t="n"/>
      <c r="C327" s="10" t="n"/>
      <c r="D327" s="11">
        <f>IF(B327="","",RANK(B327,$B$8:$B$507)+COUNTIF(B$8:B327,B327)-1)</f>
        <v/>
      </c>
      <c r="E327" s="12">
        <f>IF(B327="","",B327/SUM($B$8:$B$507))</f>
        <v/>
      </c>
      <c r="F327" s="11">
        <f>IF(B327="","",IF(G327-E327&lt;$B$2,"A",IF(G327-E327&lt;$B$3,"B","C")))</f>
        <v/>
      </c>
      <c r="G327" s="12">
        <f>IF(B327="","",SUMIF($D$8:$D$507,"&lt;="&amp;D327,$B$8:$B$507)/SUM($B$8:$B$507))</f>
        <v/>
      </c>
    </row>
    <row r="328">
      <c r="A328" s="9" t="n"/>
      <c r="B328" s="9" t="n"/>
      <c r="C328" s="10" t="n"/>
      <c r="D328" s="11">
        <f>IF(B328="","",RANK(B328,$B$8:$B$507)+COUNTIF(B$8:B328,B328)-1)</f>
        <v/>
      </c>
      <c r="E328" s="12">
        <f>IF(B328="","",B328/SUM($B$8:$B$507))</f>
        <v/>
      </c>
      <c r="F328" s="11">
        <f>IF(B328="","",IF(G328-E328&lt;$B$2,"A",IF(G328-E328&lt;$B$3,"B","C")))</f>
        <v/>
      </c>
      <c r="G328" s="12">
        <f>IF(B328="","",SUMIF($D$8:$D$507,"&lt;="&amp;D328,$B$8:$B$507)/SUM($B$8:$B$507))</f>
        <v/>
      </c>
    </row>
    <row r="329">
      <c r="A329" s="9" t="n"/>
      <c r="B329" s="9" t="n"/>
      <c r="C329" s="10" t="n"/>
      <c r="D329" s="11">
        <f>IF(B329="","",RANK(B329,$B$8:$B$507)+COUNTIF(B$8:B329,B329)-1)</f>
        <v/>
      </c>
      <c r="E329" s="12">
        <f>IF(B329="","",B329/SUM($B$8:$B$507))</f>
        <v/>
      </c>
      <c r="F329" s="11">
        <f>IF(B329="","",IF(G329-E329&lt;$B$2,"A",IF(G329-E329&lt;$B$3,"B","C")))</f>
        <v/>
      </c>
      <c r="G329" s="12">
        <f>IF(B329="","",SUMIF($D$8:$D$507,"&lt;="&amp;D329,$B$8:$B$507)/SUM($B$8:$B$507))</f>
        <v/>
      </c>
    </row>
    <row r="330">
      <c r="A330" s="9" t="n"/>
      <c r="B330" s="9" t="n"/>
      <c r="C330" s="10" t="n"/>
      <c r="D330" s="11">
        <f>IF(B330="","",RANK(B330,$B$8:$B$507)+COUNTIF(B$8:B330,B330)-1)</f>
        <v/>
      </c>
      <c r="E330" s="12">
        <f>IF(B330="","",B330/SUM($B$8:$B$507))</f>
        <v/>
      </c>
      <c r="F330" s="11">
        <f>IF(B330="","",IF(G330-E330&lt;$B$2,"A",IF(G330-E330&lt;$B$3,"B","C")))</f>
        <v/>
      </c>
      <c r="G330" s="12">
        <f>IF(B330="","",SUMIF($D$8:$D$507,"&lt;="&amp;D330,$B$8:$B$507)/SUM($B$8:$B$507))</f>
        <v/>
      </c>
    </row>
    <row r="331">
      <c r="A331" s="9" t="n"/>
      <c r="B331" s="9" t="n"/>
      <c r="C331" s="10" t="n"/>
      <c r="D331" s="11">
        <f>IF(B331="","",RANK(B331,$B$8:$B$507)+COUNTIF(B$8:B331,B331)-1)</f>
        <v/>
      </c>
      <c r="E331" s="12">
        <f>IF(B331="","",B331/SUM($B$8:$B$507))</f>
        <v/>
      </c>
      <c r="F331" s="11">
        <f>IF(B331="","",IF(G331-E331&lt;$B$2,"A",IF(G331-E331&lt;$B$3,"B","C")))</f>
        <v/>
      </c>
      <c r="G331" s="12">
        <f>IF(B331="","",SUMIF($D$8:$D$507,"&lt;="&amp;D331,$B$8:$B$507)/SUM($B$8:$B$507))</f>
        <v/>
      </c>
    </row>
    <row r="332">
      <c r="A332" s="9" t="n"/>
      <c r="B332" s="9" t="n"/>
      <c r="C332" s="10" t="n"/>
      <c r="D332" s="11">
        <f>IF(B332="","",RANK(B332,$B$8:$B$507)+COUNTIF(B$8:B332,B332)-1)</f>
        <v/>
      </c>
      <c r="E332" s="12">
        <f>IF(B332="","",B332/SUM($B$8:$B$507))</f>
        <v/>
      </c>
      <c r="F332" s="11">
        <f>IF(B332="","",IF(G332-E332&lt;$B$2,"A",IF(G332-E332&lt;$B$3,"B","C")))</f>
        <v/>
      </c>
      <c r="G332" s="12">
        <f>IF(B332="","",SUMIF($D$8:$D$507,"&lt;="&amp;D332,$B$8:$B$507)/SUM($B$8:$B$507))</f>
        <v/>
      </c>
    </row>
    <row r="333">
      <c r="A333" s="9" t="n"/>
      <c r="B333" s="9" t="n"/>
      <c r="C333" s="10" t="n"/>
      <c r="D333" s="11">
        <f>IF(B333="","",RANK(B333,$B$8:$B$507)+COUNTIF(B$8:B333,B333)-1)</f>
        <v/>
      </c>
      <c r="E333" s="12">
        <f>IF(B333="","",B333/SUM($B$8:$B$507))</f>
        <v/>
      </c>
      <c r="F333" s="11">
        <f>IF(B333="","",IF(G333-E333&lt;$B$2,"A",IF(G333-E333&lt;$B$3,"B","C")))</f>
        <v/>
      </c>
      <c r="G333" s="12">
        <f>IF(B333="","",SUMIF($D$8:$D$507,"&lt;="&amp;D333,$B$8:$B$507)/SUM($B$8:$B$507))</f>
        <v/>
      </c>
    </row>
    <row r="334">
      <c r="A334" s="9" t="n"/>
      <c r="B334" s="9" t="n"/>
      <c r="C334" s="10" t="n"/>
      <c r="D334" s="11">
        <f>IF(B334="","",RANK(B334,$B$8:$B$507)+COUNTIF(B$8:B334,B334)-1)</f>
        <v/>
      </c>
      <c r="E334" s="12">
        <f>IF(B334="","",B334/SUM($B$8:$B$507))</f>
        <v/>
      </c>
      <c r="F334" s="11">
        <f>IF(B334="","",IF(G334-E334&lt;$B$2,"A",IF(G334-E334&lt;$B$3,"B","C")))</f>
        <v/>
      </c>
      <c r="G334" s="12">
        <f>IF(B334="","",SUMIF($D$8:$D$507,"&lt;="&amp;D334,$B$8:$B$507)/SUM($B$8:$B$507))</f>
        <v/>
      </c>
    </row>
    <row r="335">
      <c r="A335" s="9" t="n"/>
      <c r="B335" s="9" t="n"/>
      <c r="C335" s="10" t="n"/>
      <c r="D335" s="11">
        <f>IF(B335="","",RANK(B335,$B$8:$B$507)+COUNTIF(B$8:B335,B335)-1)</f>
        <v/>
      </c>
      <c r="E335" s="12">
        <f>IF(B335="","",B335/SUM($B$8:$B$507))</f>
        <v/>
      </c>
      <c r="F335" s="11">
        <f>IF(B335="","",IF(G335-E335&lt;$B$2,"A",IF(G335-E335&lt;$B$3,"B","C")))</f>
        <v/>
      </c>
      <c r="G335" s="12">
        <f>IF(B335="","",SUMIF($D$8:$D$507,"&lt;="&amp;D335,$B$8:$B$507)/SUM($B$8:$B$507))</f>
        <v/>
      </c>
    </row>
    <row r="336">
      <c r="A336" s="9" t="n"/>
      <c r="B336" s="9" t="n"/>
      <c r="C336" s="10" t="n"/>
      <c r="D336" s="11">
        <f>IF(B336="","",RANK(B336,$B$8:$B$507)+COUNTIF(B$8:B336,B336)-1)</f>
        <v/>
      </c>
      <c r="E336" s="12">
        <f>IF(B336="","",B336/SUM($B$8:$B$507))</f>
        <v/>
      </c>
      <c r="F336" s="11">
        <f>IF(B336="","",IF(G336-E336&lt;$B$2,"A",IF(G336-E336&lt;$B$3,"B","C")))</f>
        <v/>
      </c>
      <c r="G336" s="12">
        <f>IF(B336="","",SUMIF($D$8:$D$507,"&lt;="&amp;D336,$B$8:$B$507)/SUM($B$8:$B$507))</f>
        <v/>
      </c>
    </row>
    <row r="337">
      <c r="A337" s="9" t="n"/>
      <c r="B337" s="9" t="n"/>
      <c r="C337" s="10" t="n"/>
      <c r="D337" s="11">
        <f>IF(B337="","",RANK(B337,$B$8:$B$507)+COUNTIF(B$8:B337,B337)-1)</f>
        <v/>
      </c>
      <c r="E337" s="12">
        <f>IF(B337="","",B337/SUM($B$8:$B$507))</f>
        <v/>
      </c>
      <c r="F337" s="11">
        <f>IF(B337="","",IF(G337-E337&lt;$B$2,"A",IF(G337-E337&lt;$B$3,"B","C")))</f>
        <v/>
      </c>
      <c r="G337" s="12">
        <f>IF(B337="","",SUMIF($D$8:$D$507,"&lt;="&amp;D337,$B$8:$B$507)/SUM($B$8:$B$507))</f>
        <v/>
      </c>
    </row>
    <row r="338">
      <c r="A338" s="9" t="n"/>
      <c r="B338" s="9" t="n"/>
      <c r="C338" s="10" t="n"/>
      <c r="D338" s="11">
        <f>IF(B338="","",RANK(B338,$B$8:$B$507)+COUNTIF(B$8:B338,B338)-1)</f>
        <v/>
      </c>
      <c r="E338" s="12">
        <f>IF(B338="","",B338/SUM($B$8:$B$507))</f>
        <v/>
      </c>
      <c r="F338" s="11">
        <f>IF(B338="","",IF(G338-E338&lt;$B$2,"A",IF(G338-E338&lt;$B$3,"B","C")))</f>
        <v/>
      </c>
      <c r="G338" s="12">
        <f>IF(B338="","",SUMIF($D$8:$D$507,"&lt;="&amp;D338,$B$8:$B$507)/SUM($B$8:$B$507))</f>
        <v/>
      </c>
    </row>
    <row r="339">
      <c r="A339" s="9" t="n"/>
      <c r="B339" s="9" t="n"/>
      <c r="C339" s="10" t="n"/>
      <c r="D339" s="11">
        <f>IF(B339="","",RANK(B339,$B$8:$B$507)+COUNTIF(B$8:B339,B339)-1)</f>
        <v/>
      </c>
      <c r="E339" s="12">
        <f>IF(B339="","",B339/SUM($B$8:$B$507))</f>
        <v/>
      </c>
      <c r="F339" s="11">
        <f>IF(B339="","",IF(G339-E339&lt;$B$2,"A",IF(G339-E339&lt;$B$3,"B","C")))</f>
        <v/>
      </c>
      <c r="G339" s="12">
        <f>IF(B339="","",SUMIF($D$8:$D$507,"&lt;="&amp;D339,$B$8:$B$507)/SUM($B$8:$B$507))</f>
        <v/>
      </c>
    </row>
    <row r="340">
      <c r="A340" s="9" t="n"/>
      <c r="B340" s="9" t="n"/>
      <c r="C340" s="10" t="n"/>
      <c r="D340" s="11">
        <f>IF(B340="","",RANK(B340,$B$8:$B$507)+COUNTIF(B$8:B340,B340)-1)</f>
        <v/>
      </c>
      <c r="E340" s="12">
        <f>IF(B340="","",B340/SUM($B$8:$B$507))</f>
        <v/>
      </c>
      <c r="F340" s="11">
        <f>IF(B340="","",IF(G340-E340&lt;$B$2,"A",IF(G340-E340&lt;$B$3,"B","C")))</f>
        <v/>
      </c>
      <c r="G340" s="12">
        <f>IF(B340="","",SUMIF($D$8:$D$507,"&lt;="&amp;D340,$B$8:$B$507)/SUM($B$8:$B$507))</f>
        <v/>
      </c>
    </row>
    <row r="341">
      <c r="A341" s="9" t="n"/>
      <c r="B341" s="9" t="n"/>
      <c r="C341" s="10" t="n"/>
      <c r="D341" s="11">
        <f>IF(B341="","",RANK(B341,$B$8:$B$507)+COUNTIF(B$8:B341,B341)-1)</f>
        <v/>
      </c>
      <c r="E341" s="12">
        <f>IF(B341="","",B341/SUM($B$8:$B$507))</f>
        <v/>
      </c>
      <c r="F341" s="11">
        <f>IF(B341="","",IF(G341-E341&lt;$B$2,"A",IF(G341-E341&lt;$B$3,"B","C")))</f>
        <v/>
      </c>
      <c r="G341" s="12">
        <f>IF(B341="","",SUMIF($D$8:$D$507,"&lt;="&amp;D341,$B$8:$B$507)/SUM($B$8:$B$507))</f>
        <v/>
      </c>
    </row>
    <row r="342">
      <c r="A342" s="9" t="n"/>
      <c r="B342" s="9" t="n"/>
      <c r="C342" s="10" t="n"/>
      <c r="D342" s="11">
        <f>IF(B342="","",RANK(B342,$B$8:$B$507)+COUNTIF(B$8:B342,B342)-1)</f>
        <v/>
      </c>
      <c r="E342" s="12">
        <f>IF(B342="","",B342/SUM($B$8:$B$507))</f>
        <v/>
      </c>
      <c r="F342" s="11">
        <f>IF(B342="","",IF(G342-E342&lt;$B$2,"A",IF(G342-E342&lt;$B$3,"B","C")))</f>
        <v/>
      </c>
      <c r="G342" s="12">
        <f>IF(B342="","",SUMIF($D$8:$D$507,"&lt;="&amp;D342,$B$8:$B$507)/SUM($B$8:$B$507))</f>
        <v/>
      </c>
    </row>
    <row r="343">
      <c r="A343" s="9" t="n"/>
      <c r="B343" s="9" t="n"/>
      <c r="C343" s="10" t="n"/>
      <c r="D343" s="11">
        <f>IF(B343="","",RANK(B343,$B$8:$B$507)+COUNTIF(B$8:B343,B343)-1)</f>
        <v/>
      </c>
      <c r="E343" s="12">
        <f>IF(B343="","",B343/SUM($B$8:$B$507))</f>
        <v/>
      </c>
      <c r="F343" s="11">
        <f>IF(B343="","",IF(G343-E343&lt;$B$2,"A",IF(G343-E343&lt;$B$3,"B","C")))</f>
        <v/>
      </c>
      <c r="G343" s="12">
        <f>IF(B343="","",SUMIF($D$8:$D$507,"&lt;="&amp;D343,$B$8:$B$507)/SUM($B$8:$B$507))</f>
        <v/>
      </c>
    </row>
    <row r="344">
      <c r="A344" s="9" t="n"/>
      <c r="B344" s="9" t="n"/>
      <c r="C344" s="10" t="n"/>
      <c r="D344" s="11">
        <f>IF(B344="","",RANK(B344,$B$8:$B$507)+COUNTIF(B$8:B344,B344)-1)</f>
        <v/>
      </c>
      <c r="E344" s="12">
        <f>IF(B344="","",B344/SUM($B$8:$B$507))</f>
        <v/>
      </c>
      <c r="F344" s="11">
        <f>IF(B344="","",IF(G344-E344&lt;$B$2,"A",IF(G344-E344&lt;$B$3,"B","C")))</f>
        <v/>
      </c>
      <c r="G344" s="12">
        <f>IF(B344="","",SUMIF($D$8:$D$507,"&lt;="&amp;D344,$B$8:$B$507)/SUM($B$8:$B$507))</f>
        <v/>
      </c>
    </row>
    <row r="345">
      <c r="A345" s="9" t="n"/>
      <c r="B345" s="9" t="n"/>
      <c r="C345" s="10" t="n"/>
      <c r="D345" s="11">
        <f>IF(B345="","",RANK(B345,$B$8:$B$507)+COUNTIF(B$8:B345,B345)-1)</f>
        <v/>
      </c>
      <c r="E345" s="12">
        <f>IF(B345="","",B345/SUM($B$8:$B$507))</f>
        <v/>
      </c>
      <c r="F345" s="11">
        <f>IF(B345="","",IF(G345-E345&lt;$B$2,"A",IF(G345-E345&lt;$B$3,"B","C")))</f>
        <v/>
      </c>
      <c r="G345" s="12">
        <f>IF(B345="","",SUMIF($D$8:$D$507,"&lt;="&amp;D345,$B$8:$B$507)/SUM($B$8:$B$507))</f>
        <v/>
      </c>
    </row>
    <row r="346">
      <c r="A346" s="9" t="n"/>
      <c r="B346" s="9" t="n"/>
      <c r="C346" s="10" t="n"/>
      <c r="D346" s="11">
        <f>IF(B346="","",RANK(B346,$B$8:$B$507)+COUNTIF(B$8:B346,B346)-1)</f>
        <v/>
      </c>
      <c r="E346" s="12">
        <f>IF(B346="","",B346/SUM($B$8:$B$507))</f>
        <v/>
      </c>
      <c r="F346" s="11">
        <f>IF(B346="","",IF(G346-E346&lt;$B$2,"A",IF(G346-E346&lt;$B$3,"B","C")))</f>
        <v/>
      </c>
      <c r="G346" s="12">
        <f>IF(B346="","",SUMIF($D$8:$D$507,"&lt;="&amp;D346,$B$8:$B$507)/SUM($B$8:$B$507))</f>
        <v/>
      </c>
    </row>
    <row r="347">
      <c r="A347" s="9" t="n"/>
      <c r="B347" s="9" t="n"/>
      <c r="C347" s="10" t="n"/>
      <c r="D347" s="11">
        <f>IF(B347="","",RANK(B347,$B$8:$B$507)+COUNTIF(B$8:B347,B347)-1)</f>
        <v/>
      </c>
      <c r="E347" s="12">
        <f>IF(B347="","",B347/SUM($B$8:$B$507))</f>
        <v/>
      </c>
      <c r="F347" s="11">
        <f>IF(B347="","",IF(G347-E347&lt;$B$2,"A",IF(G347-E347&lt;$B$3,"B","C")))</f>
        <v/>
      </c>
      <c r="G347" s="12">
        <f>IF(B347="","",SUMIF($D$8:$D$507,"&lt;="&amp;D347,$B$8:$B$507)/SUM($B$8:$B$507))</f>
        <v/>
      </c>
    </row>
    <row r="348">
      <c r="A348" s="9" t="n"/>
      <c r="B348" s="9" t="n"/>
      <c r="C348" s="10" t="n"/>
      <c r="D348" s="11">
        <f>IF(B348="","",RANK(B348,$B$8:$B$507)+COUNTIF(B$8:B348,B348)-1)</f>
        <v/>
      </c>
      <c r="E348" s="12">
        <f>IF(B348="","",B348/SUM($B$8:$B$507))</f>
        <v/>
      </c>
      <c r="F348" s="11">
        <f>IF(B348="","",IF(G348-E348&lt;$B$2,"A",IF(G348-E348&lt;$B$3,"B","C")))</f>
        <v/>
      </c>
      <c r="G348" s="12">
        <f>IF(B348="","",SUMIF($D$8:$D$507,"&lt;="&amp;D348,$B$8:$B$507)/SUM($B$8:$B$507))</f>
        <v/>
      </c>
    </row>
    <row r="349">
      <c r="A349" s="9" t="n"/>
      <c r="B349" s="9" t="n"/>
      <c r="C349" s="10" t="n"/>
      <c r="D349" s="11">
        <f>IF(B349="","",RANK(B349,$B$8:$B$507)+COUNTIF(B$8:B349,B349)-1)</f>
        <v/>
      </c>
      <c r="E349" s="12">
        <f>IF(B349="","",B349/SUM($B$8:$B$507))</f>
        <v/>
      </c>
      <c r="F349" s="11">
        <f>IF(B349="","",IF(G349-E349&lt;$B$2,"A",IF(G349-E349&lt;$B$3,"B","C")))</f>
        <v/>
      </c>
      <c r="G349" s="12">
        <f>IF(B349="","",SUMIF($D$8:$D$507,"&lt;="&amp;D349,$B$8:$B$507)/SUM($B$8:$B$507))</f>
        <v/>
      </c>
    </row>
    <row r="350">
      <c r="A350" s="9" t="n"/>
      <c r="B350" s="9" t="n"/>
      <c r="C350" s="10" t="n"/>
      <c r="D350" s="11">
        <f>IF(B350="","",RANK(B350,$B$8:$B$507)+COUNTIF(B$8:B350,B350)-1)</f>
        <v/>
      </c>
      <c r="E350" s="12">
        <f>IF(B350="","",B350/SUM($B$8:$B$507))</f>
        <v/>
      </c>
      <c r="F350" s="11">
        <f>IF(B350="","",IF(G350-E350&lt;$B$2,"A",IF(G350-E350&lt;$B$3,"B","C")))</f>
        <v/>
      </c>
      <c r="G350" s="12">
        <f>IF(B350="","",SUMIF($D$8:$D$507,"&lt;="&amp;D350,$B$8:$B$507)/SUM($B$8:$B$507))</f>
        <v/>
      </c>
    </row>
    <row r="351">
      <c r="A351" s="9" t="n"/>
      <c r="B351" s="9" t="n"/>
      <c r="C351" s="10" t="n"/>
      <c r="D351" s="11">
        <f>IF(B351="","",RANK(B351,$B$8:$B$507)+COUNTIF(B$8:B351,B351)-1)</f>
        <v/>
      </c>
      <c r="E351" s="12">
        <f>IF(B351="","",B351/SUM($B$8:$B$507))</f>
        <v/>
      </c>
      <c r="F351" s="11">
        <f>IF(B351="","",IF(G351-E351&lt;$B$2,"A",IF(G351-E351&lt;$B$3,"B","C")))</f>
        <v/>
      </c>
      <c r="G351" s="12">
        <f>IF(B351="","",SUMIF($D$8:$D$507,"&lt;="&amp;D351,$B$8:$B$507)/SUM($B$8:$B$507))</f>
        <v/>
      </c>
    </row>
    <row r="352">
      <c r="A352" s="9" t="n"/>
      <c r="B352" s="9" t="n"/>
      <c r="C352" s="10" t="n"/>
      <c r="D352" s="11">
        <f>IF(B352="","",RANK(B352,$B$8:$B$507)+COUNTIF(B$8:B352,B352)-1)</f>
        <v/>
      </c>
      <c r="E352" s="12">
        <f>IF(B352="","",B352/SUM($B$8:$B$507))</f>
        <v/>
      </c>
      <c r="F352" s="11">
        <f>IF(B352="","",IF(G352-E352&lt;$B$2,"A",IF(G352-E352&lt;$B$3,"B","C")))</f>
        <v/>
      </c>
      <c r="G352" s="12">
        <f>IF(B352="","",SUMIF($D$8:$D$507,"&lt;="&amp;D352,$B$8:$B$507)/SUM($B$8:$B$507))</f>
        <v/>
      </c>
    </row>
    <row r="353">
      <c r="A353" s="9" t="n"/>
      <c r="B353" s="9" t="n"/>
      <c r="C353" s="10" t="n"/>
      <c r="D353" s="11">
        <f>IF(B353="","",RANK(B353,$B$8:$B$507)+COUNTIF(B$8:B353,B353)-1)</f>
        <v/>
      </c>
      <c r="E353" s="12">
        <f>IF(B353="","",B353/SUM($B$8:$B$507))</f>
        <v/>
      </c>
      <c r="F353" s="11">
        <f>IF(B353="","",IF(G353-E353&lt;$B$2,"A",IF(G353-E353&lt;$B$3,"B","C")))</f>
        <v/>
      </c>
      <c r="G353" s="12">
        <f>IF(B353="","",SUMIF($D$8:$D$507,"&lt;="&amp;D353,$B$8:$B$507)/SUM($B$8:$B$507))</f>
        <v/>
      </c>
    </row>
    <row r="354">
      <c r="A354" s="9" t="n"/>
      <c r="B354" s="9" t="n"/>
      <c r="C354" s="10" t="n"/>
      <c r="D354" s="11">
        <f>IF(B354="","",RANK(B354,$B$8:$B$507)+COUNTIF(B$8:B354,B354)-1)</f>
        <v/>
      </c>
      <c r="E354" s="12">
        <f>IF(B354="","",B354/SUM($B$8:$B$507))</f>
        <v/>
      </c>
      <c r="F354" s="11">
        <f>IF(B354="","",IF(G354-E354&lt;$B$2,"A",IF(G354-E354&lt;$B$3,"B","C")))</f>
        <v/>
      </c>
      <c r="G354" s="12">
        <f>IF(B354="","",SUMIF($D$8:$D$507,"&lt;="&amp;D354,$B$8:$B$507)/SUM($B$8:$B$507))</f>
        <v/>
      </c>
    </row>
    <row r="355">
      <c r="A355" s="9" t="n"/>
      <c r="B355" s="9" t="n"/>
      <c r="C355" s="10" t="n"/>
      <c r="D355" s="11">
        <f>IF(B355="","",RANK(B355,$B$8:$B$507)+COUNTIF(B$8:B355,B355)-1)</f>
        <v/>
      </c>
      <c r="E355" s="12">
        <f>IF(B355="","",B355/SUM($B$8:$B$507))</f>
        <v/>
      </c>
      <c r="F355" s="11">
        <f>IF(B355="","",IF(G355-E355&lt;$B$2,"A",IF(G355-E355&lt;$B$3,"B","C")))</f>
        <v/>
      </c>
      <c r="G355" s="12">
        <f>IF(B355="","",SUMIF($D$8:$D$507,"&lt;="&amp;D355,$B$8:$B$507)/SUM($B$8:$B$507))</f>
        <v/>
      </c>
    </row>
    <row r="356">
      <c r="A356" s="9" t="n"/>
      <c r="B356" s="9" t="n"/>
      <c r="C356" s="10" t="n"/>
      <c r="D356" s="11">
        <f>IF(B356="","",RANK(B356,$B$8:$B$507)+COUNTIF(B$8:B356,B356)-1)</f>
        <v/>
      </c>
      <c r="E356" s="12">
        <f>IF(B356="","",B356/SUM($B$8:$B$507))</f>
        <v/>
      </c>
      <c r="F356" s="11">
        <f>IF(B356="","",IF(G356-E356&lt;$B$2,"A",IF(G356-E356&lt;$B$3,"B","C")))</f>
        <v/>
      </c>
      <c r="G356" s="12">
        <f>IF(B356="","",SUMIF($D$8:$D$507,"&lt;="&amp;D356,$B$8:$B$507)/SUM($B$8:$B$507))</f>
        <v/>
      </c>
    </row>
    <row r="357">
      <c r="A357" s="9" t="n"/>
      <c r="B357" s="9" t="n"/>
      <c r="C357" s="10" t="n"/>
      <c r="D357" s="11">
        <f>IF(B357="","",RANK(B357,$B$8:$B$507)+COUNTIF(B$8:B357,B357)-1)</f>
        <v/>
      </c>
      <c r="E357" s="12">
        <f>IF(B357="","",B357/SUM($B$8:$B$507))</f>
        <v/>
      </c>
      <c r="F357" s="11">
        <f>IF(B357="","",IF(G357-E357&lt;$B$2,"A",IF(G357-E357&lt;$B$3,"B","C")))</f>
        <v/>
      </c>
      <c r="G357" s="12">
        <f>IF(B357="","",SUMIF($D$8:$D$507,"&lt;="&amp;D357,$B$8:$B$507)/SUM($B$8:$B$507))</f>
        <v/>
      </c>
    </row>
    <row r="358">
      <c r="A358" s="9" t="n"/>
      <c r="B358" s="9" t="n"/>
      <c r="C358" s="10" t="n"/>
      <c r="D358" s="11">
        <f>IF(B358="","",RANK(B358,$B$8:$B$507)+COUNTIF(B$8:B358,B358)-1)</f>
        <v/>
      </c>
      <c r="E358" s="12">
        <f>IF(B358="","",B358/SUM($B$8:$B$507))</f>
        <v/>
      </c>
      <c r="F358" s="11">
        <f>IF(B358="","",IF(G358-E358&lt;$B$2,"A",IF(G358-E358&lt;$B$3,"B","C")))</f>
        <v/>
      </c>
      <c r="G358" s="12">
        <f>IF(B358="","",SUMIF($D$8:$D$507,"&lt;="&amp;D358,$B$8:$B$507)/SUM($B$8:$B$507))</f>
        <v/>
      </c>
    </row>
    <row r="359">
      <c r="A359" s="9" t="n"/>
      <c r="B359" s="9" t="n"/>
      <c r="C359" s="10" t="n"/>
      <c r="D359" s="11">
        <f>IF(B359="","",RANK(B359,$B$8:$B$507)+COUNTIF(B$8:B359,B359)-1)</f>
        <v/>
      </c>
      <c r="E359" s="12">
        <f>IF(B359="","",B359/SUM($B$8:$B$507))</f>
        <v/>
      </c>
      <c r="F359" s="11">
        <f>IF(B359="","",IF(G359-E359&lt;$B$2,"A",IF(G359-E359&lt;$B$3,"B","C")))</f>
        <v/>
      </c>
      <c r="G359" s="12">
        <f>IF(B359="","",SUMIF($D$8:$D$507,"&lt;="&amp;D359,$B$8:$B$507)/SUM($B$8:$B$507))</f>
        <v/>
      </c>
    </row>
    <row r="360">
      <c r="A360" s="9" t="n"/>
      <c r="B360" s="9" t="n"/>
      <c r="C360" s="10" t="n"/>
      <c r="D360" s="11">
        <f>IF(B360="","",RANK(B360,$B$8:$B$507)+COUNTIF(B$8:B360,B360)-1)</f>
        <v/>
      </c>
      <c r="E360" s="12">
        <f>IF(B360="","",B360/SUM($B$8:$B$507))</f>
        <v/>
      </c>
      <c r="F360" s="11">
        <f>IF(B360="","",IF(G360-E360&lt;$B$2,"A",IF(G360-E360&lt;$B$3,"B","C")))</f>
        <v/>
      </c>
      <c r="G360" s="12">
        <f>IF(B360="","",SUMIF($D$8:$D$507,"&lt;="&amp;D360,$B$8:$B$507)/SUM($B$8:$B$507))</f>
        <v/>
      </c>
    </row>
    <row r="361">
      <c r="A361" s="9" t="n"/>
      <c r="B361" s="9" t="n"/>
      <c r="C361" s="10" t="n"/>
      <c r="D361" s="11">
        <f>IF(B361="","",RANK(B361,$B$8:$B$507)+COUNTIF(B$8:B361,B361)-1)</f>
        <v/>
      </c>
      <c r="E361" s="12">
        <f>IF(B361="","",B361/SUM($B$8:$B$507))</f>
        <v/>
      </c>
      <c r="F361" s="11">
        <f>IF(B361="","",IF(G361-E361&lt;$B$2,"A",IF(G361-E361&lt;$B$3,"B","C")))</f>
        <v/>
      </c>
      <c r="G361" s="12">
        <f>IF(B361="","",SUMIF($D$8:$D$507,"&lt;="&amp;D361,$B$8:$B$507)/SUM($B$8:$B$507))</f>
        <v/>
      </c>
    </row>
    <row r="362">
      <c r="A362" s="9" t="n"/>
      <c r="B362" s="9" t="n"/>
      <c r="C362" s="10" t="n"/>
      <c r="D362" s="11">
        <f>IF(B362="","",RANK(B362,$B$8:$B$507)+COUNTIF(B$8:B362,B362)-1)</f>
        <v/>
      </c>
      <c r="E362" s="12">
        <f>IF(B362="","",B362/SUM($B$8:$B$507))</f>
        <v/>
      </c>
      <c r="F362" s="11">
        <f>IF(B362="","",IF(G362-E362&lt;$B$2,"A",IF(G362-E362&lt;$B$3,"B","C")))</f>
        <v/>
      </c>
      <c r="G362" s="12">
        <f>IF(B362="","",SUMIF($D$8:$D$507,"&lt;="&amp;D362,$B$8:$B$507)/SUM($B$8:$B$507))</f>
        <v/>
      </c>
    </row>
    <row r="363">
      <c r="A363" s="9" t="n"/>
      <c r="B363" s="9" t="n"/>
      <c r="C363" s="10" t="n"/>
      <c r="D363" s="11">
        <f>IF(B363="","",RANK(B363,$B$8:$B$507)+COUNTIF(B$8:B363,B363)-1)</f>
        <v/>
      </c>
      <c r="E363" s="12">
        <f>IF(B363="","",B363/SUM($B$8:$B$507))</f>
        <v/>
      </c>
      <c r="F363" s="11">
        <f>IF(B363="","",IF(G363-E363&lt;$B$2,"A",IF(G363-E363&lt;$B$3,"B","C")))</f>
        <v/>
      </c>
      <c r="G363" s="12">
        <f>IF(B363="","",SUMIF($D$8:$D$507,"&lt;="&amp;D363,$B$8:$B$507)/SUM($B$8:$B$507))</f>
        <v/>
      </c>
    </row>
    <row r="364">
      <c r="A364" s="9" t="n"/>
      <c r="B364" s="9" t="n"/>
      <c r="C364" s="10" t="n"/>
      <c r="D364" s="11">
        <f>IF(B364="","",RANK(B364,$B$8:$B$507)+COUNTIF(B$8:B364,B364)-1)</f>
        <v/>
      </c>
      <c r="E364" s="12">
        <f>IF(B364="","",B364/SUM($B$8:$B$507))</f>
        <v/>
      </c>
      <c r="F364" s="11">
        <f>IF(B364="","",IF(G364-E364&lt;$B$2,"A",IF(G364-E364&lt;$B$3,"B","C")))</f>
        <v/>
      </c>
      <c r="G364" s="12">
        <f>IF(B364="","",SUMIF($D$8:$D$507,"&lt;="&amp;D364,$B$8:$B$507)/SUM($B$8:$B$507))</f>
        <v/>
      </c>
    </row>
    <row r="365">
      <c r="A365" s="9" t="n"/>
      <c r="B365" s="9" t="n"/>
      <c r="C365" s="10" t="n"/>
      <c r="D365" s="11">
        <f>IF(B365="","",RANK(B365,$B$8:$B$507)+COUNTIF(B$8:B365,B365)-1)</f>
        <v/>
      </c>
      <c r="E365" s="12">
        <f>IF(B365="","",B365/SUM($B$8:$B$507))</f>
        <v/>
      </c>
      <c r="F365" s="11">
        <f>IF(B365="","",IF(G365-E365&lt;$B$2,"A",IF(G365-E365&lt;$B$3,"B","C")))</f>
        <v/>
      </c>
      <c r="G365" s="12">
        <f>IF(B365="","",SUMIF($D$8:$D$507,"&lt;="&amp;D365,$B$8:$B$507)/SUM($B$8:$B$507))</f>
        <v/>
      </c>
    </row>
    <row r="366">
      <c r="A366" s="9" t="n"/>
      <c r="B366" s="9" t="n"/>
      <c r="C366" s="10" t="n"/>
      <c r="D366" s="11">
        <f>IF(B366="","",RANK(B366,$B$8:$B$507)+COUNTIF(B$8:B366,B366)-1)</f>
        <v/>
      </c>
      <c r="E366" s="12">
        <f>IF(B366="","",B366/SUM($B$8:$B$507))</f>
        <v/>
      </c>
      <c r="F366" s="11">
        <f>IF(B366="","",IF(G366-E366&lt;$B$2,"A",IF(G366-E366&lt;$B$3,"B","C")))</f>
        <v/>
      </c>
      <c r="G366" s="12">
        <f>IF(B366="","",SUMIF($D$8:$D$507,"&lt;="&amp;D366,$B$8:$B$507)/SUM($B$8:$B$507))</f>
        <v/>
      </c>
    </row>
    <row r="367">
      <c r="A367" s="9" t="n"/>
      <c r="B367" s="9" t="n"/>
      <c r="C367" s="10" t="n"/>
      <c r="D367" s="11">
        <f>IF(B367="","",RANK(B367,$B$8:$B$507)+COUNTIF(B$8:B367,B367)-1)</f>
        <v/>
      </c>
      <c r="E367" s="12">
        <f>IF(B367="","",B367/SUM($B$8:$B$507))</f>
        <v/>
      </c>
      <c r="F367" s="11">
        <f>IF(B367="","",IF(G367-E367&lt;$B$2,"A",IF(G367-E367&lt;$B$3,"B","C")))</f>
        <v/>
      </c>
      <c r="G367" s="12">
        <f>IF(B367="","",SUMIF($D$8:$D$507,"&lt;="&amp;D367,$B$8:$B$507)/SUM($B$8:$B$507))</f>
        <v/>
      </c>
    </row>
    <row r="368">
      <c r="A368" s="9" t="n"/>
      <c r="B368" s="9" t="n"/>
      <c r="C368" s="10" t="n"/>
      <c r="D368" s="11">
        <f>IF(B368="","",RANK(B368,$B$8:$B$507)+COUNTIF(B$8:B368,B368)-1)</f>
        <v/>
      </c>
      <c r="E368" s="12">
        <f>IF(B368="","",B368/SUM($B$8:$B$507))</f>
        <v/>
      </c>
      <c r="F368" s="11">
        <f>IF(B368="","",IF(G368-E368&lt;$B$2,"A",IF(G368-E368&lt;$B$3,"B","C")))</f>
        <v/>
      </c>
      <c r="G368" s="12">
        <f>IF(B368="","",SUMIF($D$8:$D$507,"&lt;="&amp;D368,$B$8:$B$507)/SUM($B$8:$B$507))</f>
        <v/>
      </c>
    </row>
    <row r="369">
      <c r="A369" s="9" t="n"/>
      <c r="B369" s="9" t="n"/>
      <c r="C369" s="10" t="n"/>
      <c r="D369" s="11">
        <f>IF(B369="","",RANK(B369,$B$8:$B$507)+COUNTIF(B$8:B369,B369)-1)</f>
        <v/>
      </c>
      <c r="E369" s="12">
        <f>IF(B369="","",B369/SUM($B$8:$B$507))</f>
        <v/>
      </c>
      <c r="F369" s="11">
        <f>IF(B369="","",IF(G369-E369&lt;$B$2,"A",IF(G369-E369&lt;$B$3,"B","C")))</f>
        <v/>
      </c>
      <c r="G369" s="12">
        <f>IF(B369="","",SUMIF($D$8:$D$507,"&lt;="&amp;D369,$B$8:$B$507)/SUM($B$8:$B$507))</f>
        <v/>
      </c>
    </row>
    <row r="370">
      <c r="A370" s="9" t="n"/>
      <c r="B370" s="9" t="n"/>
      <c r="C370" s="10" t="n"/>
      <c r="D370" s="11">
        <f>IF(B370="","",RANK(B370,$B$8:$B$507)+COUNTIF(B$8:B370,B370)-1)</f>
        <v/>
      </c>
      <c r="E370" s="12">
        <f>IF(B370="","",B370/SUM($B$8:$B$507))</f>
        <v/>
      </c>
      <c r="F370" s="11">
        <f>IF(B370="","",IF(G370-E370&lt;$B$2,"A",IF(G370-E370&lt;$B$3,"B","C")))</f>
        <v/>
      </c>
      <c r="G370" s="12">
        <f>IF(B370="","",SUMIF($D$8:$D$507,"&lt;="&amp;D370,$B$8:$B$507)/SUM($B$8:$B$507))</f>
        <v/>
      </c>
    </row>
    <row r="371">
      <c r="A371" s="9" t="n"/>
      <c r="B371" s="9" t="n"/>
      <c r="C371" s="10" t="n"/>
      <c r="D371" s="11">
        <f>IF(B371="","",RANK(B371,$B$8:$B$507)+COUNTIF(B$8:B371,B371)-1)</f>
        <v/>
      </c>
      <c r="E371" s="12">
        <f>IF(B371="","",B371/SUM($B$8:$B$507))</f>
        <v/>
      </c>
      <c r="F371" s="11">
        <f>IF(B371="","",IF(G371-E371&lt;$B$2,"A",IF(G371-E371&lt;$B$3,"B","C")))</f>
        <v/>
      </c>
      <c r="G371" s="12">
        <f>IF(B371="","",SUMIF($D$8:$D$507,"&lt;="&amp;D371,$B$8:$B$507)/SUM($B$8:$B$507))</f>
        <v/>
      </c>
    </row>
    <row r="372">
      <c r="A372" s="9" t="n"/>
      <c r="B372" s="9" t="n"/>
      <c r="C372" s="10" t="n"/>
      <c r="D372" s="11">
        <f>IF(B372="","",RANK(B372,$B$8:$B$507)+COUNTIF(B$8:B372,B372)-1)</f>
        <v/>
      </c>
      <c r="E372" s="12">
        <f>IF(B372="","",B372/SUM($B$8:$B$507))</f>
        <v/>
      </c>
      <c r="F372" s="11">
        <f>IF(B372="","",IF(G372-E372&lt;$B$2,"A",IF(G372-E372&lt;$B$3,"B","C")))</f>
        <v/>
      </c>
      <c r="G372" s="12">
        <f>IF(B372="","",SUMIF($D$8:$D$507,"&lt;="&amp;D372,$B$8:$B$507)/SUM($B$8:$B$507))</f>
        <v/>
      </c>
    </row>
    <row r="373">
      <c r="A373" s="9" t="n"/>
      <c r="B373" s="9" t="n"/>
      <c r="C373" s="10" t="n"/>
      <c r="D373" s="11">
        <f>IF(B373="","",RANK(B373,$B$8:$B$507)+COUNTIF(B$8:B373,B373)-1)</f>
        <v/>
      </c>
      <c r="E373" s="12">
        <f>IF(B373="","",B373/SUM($B$8:$B$507))</f>
        <v/>
      </c>
      <c r="F373" s="11">
        <f>IF(B373="","",IF(G373-E373&lt;$B$2,"A",IF(G373-E373&lt;$B$3,"B","C")))</f>
        <v/>
      </c>
      <c r="G373" s="12">
        <f>IF(B373="","",SUMIF($D$8:$D$507,"&lt;="&amp;D373,$B$8:$B$507)/SUM($B$8:$B$507))</f>
        <v/>
      </c>
    </row>
    <row r="374">
      <c r="A374" s="9" t="n"/>
      <c r="B374" s="9" t="n"/>
      <c r="C374" s="10" t="n"/>
      <c r="D374" s="11">
        <f>IF(B374="","",RANK(B374,$B$8:$B$507)+COUNTIF(B$8:B374,B374)-1)</f>
        <v/>
      </c>
      <c r="E374" s="12">
        <f>IF(B374="","",B374/SUM($B$8:$B$507))</f>
        <v/>
      </c>
      <c r="F374" s="11">
        <f>IF(B374="","",IF(G374-E374&lt;$B$2,"A",IF(G374-E374&lt;$B$3,"B","C")))</f>
        <v/>
      </c>
      <c r="G374" s="12">
        <f>IF(B374="","",SUMIF($D$8:$D$507,"&lt;="&amp;D374,$B$8:$B$507)/SUM($B$8:$B$507))</f>
        <v/>
      </c>
    </row>
    <row r="375">
      <c r="A375" s="9" t="n"/>
      <c r="B375" s="9" t="n"/>
      <c r="C375" s="10" t="n"/>
      <c r="D375" s="11">
        <f>IF(B375="","",RANK(B375,$B$8:$B$507)+COUNTIF(B$8:B375,B375)-1)</f>
        <v/>
      </c>
      <c r="E375" s="12">
        <f>IF(B375="","",B375/SUM($B$8:$B$507))</f>
        <v/>
      </c>
      <c r="F375" s="11">
        <f>IF(B375="","",IF(G375-E375&lt;$B$2,"A",IF(G375-E375&lt;$B$3,"B","C")))</f>
        <v/>
      </c>
      <c r="G375" s="12">
        <f>IF(B375="","",SUMIF($D$8:$D$507,"&lt;="&amp;D375,$B$8:$B$507)/SUM($B$8:$B$507))</f>
        <v/>
      </c>
    </row>
    <row r="376">
      <c r="A376" s="9" t="n"/>
      <c r="B376" s="9" t="n"/>
      <c r="C376" s="10" t="n"/>
      <c r="D376" s="11">
        <f>IF(B376="","",RANK(B376,$B$8:$B$507)+COUNTIF(B$8:B376,B376)-1)</f>
        <v/>
      </c>
      <c r="E376" s="12">
        <f>IF(B376="","",B376/SUM($B$8:$B$507))</f>
        <v/>
      </c>
      <c r="F376" s="11">
        <f>IF(B376="","",IF(G376-E376&lt;$B$2,"A",IF(G376-E376&lt;$B$3,"B","C")))</f>
        <v/>
      </c>
      <c r="G376" s="12">
        <f>IF(B376="","",SUMIF($D$8:$D$507,"&lt;="&amp;D376,$B$8:$B$507)/SUM($B$8:$B$507))</f>
        <v/>
      </c>
    </row>
    <row r="377">
      <c r="A377" s="9" t="n"/>
      <c r="B377" s="9" t="n"/>
      <c r="C377" s="10" t="n"/>
      <c r="D377" s="11">
        <f>IF(B377="","",RANK(B377,$B$8:$B$507)+COUNTIF(B$8:B377,B377)-1)</f>
        <v/>
      </c>
      <c r="E377" s="12">
        <f>IF(B377="","",B377/SUM($B$8:$B$507))</f>
        <v/>
      </c>
      <c r="F377" s="11">
        <f>IF(B377="","",IF(G377-E377&lt;$B$2,"A",IF(G377-E377&lt;$B$3,"B","C")))</f>
        <v/>
      </c>
      <c r="G377" s="12">
        <f>IF(B377="","",SUMIF($D$8:$D$507,"&lt;="&amp;D377,$B$8:$B$507)/SUM($B$8:$B$507))</f>
        <v/>
      </c>
    </row>
    <row r="378">
      <c r="A378" s="9" t="n"/>
      <c r="B378" s="9" t="n"/>
      <c r="C378" s="10" t="n"/>
      <c r="D378" s="11">
        <f>IF(B378="","",RANK(B378,$B$8:$B$507)+COUNTIF(B$8:B378,B378)-1)</f>
        <v/>
      </c>
      <c r="E378" s="12">
        <f>IF(B378="","",B378/SUM($B$8:$B$507))</f>
        <v/>
      </c>
      <c r="F378" s="11">
        <f>IF(B378="","",IF(G378-E378&lt;$B$2,"A",IF(G378-E378&lt;$B$3,"B","C")))</f>
        <v/>
      </c>
      <c r="G378" s="12">
        <f>IF(B378="","",SUMIF($D$8:$D$507,"&lt;="&amp;D378,$B$8:$B$507)/SUM($B$8:$B$507))</f>
        <v/>
      </c>
    </row>
    <row r="379">
      <c r="A379" s="9" t="n"/>
      <c r="B379" s="9" t="n"/>
      <c r="C379" s="10" t="n"/>
      <c r="D379" s="11">
        <f>IF(B379="","",RANK(B379,$B$8:$B$507)+COUNTIF(B$8:B379,B379)-1)</f>
        <v/>
      </c>
      <c r="E379" s="12">
        <f>IF(B379="","",B379/SUM($B$8:$B$507))</f>
        <v/>
      </c>
      <c r="F379" s="11">
        <f>IF(B379="","",IF(G379-E379&lt;$B$2,"A",IF(G379-E379&lt;$B$3,"B","C")))</f>
        <v/>
      </c>
      <c r="G379" s="12">
        <f>IF(B379="","",SUMIF($D$8:$D$507,"&lt;="&amp;D379,$B$8:$B$507)/SUM($B$8:$B$507))</f>
        <v/>
      </c>
    </row>
    <row r="380">
      <c r="A380" s="9" t="n"/>
      <c r="B380" s="9" t="n"/>
      <c r="C380" s="10" t="n"/>
      <c r="D380" s="11">
        <f>IF(B380="","",RANK(B380,$B$8:$B$507)+COUNTIF(B$8:B380,B380)-1)</f>
        <v/>
      </c>
      <c r="E380" s="12">
        <f>IF(B380="","",B380/SUM($B$8:$B$507))</f>
        <v/>
      </c>
      <c r="F380" s="11">
        <f>IF(B380="","",IF(G380-E380&lt;$B$2,"A",IF(G380-E380&lt;$B$3,"B","C")))</f>
        <v/>
      </c>
      <c r="G380" s="12">
        <f>IF(B380="","",SUMIF($D$8:$D$507,"&lt;="&amp;D380,$B$8:$B$507)/SUM($B$8:$B$507))</f>
        <v/>
      </c>
    </row>
    <row r="381">
      <c r="A381" s="9" t="n"/>
      <c r="B381" s="9" t="n"/>
      <c r="C381" s="10" t="n"/>
      <c r="D381" s="11">
        <f>IF(B381="","",RANK(B381,$B$8:$B$507)+COUNTIF(B$8:B381,B381)-1)</f>
        <v/>
      </c>
      <c r="E381" s="12">
        <f>IF(B381="","",B381/SUM($B$8:$B$507))</f>
        <v/>
      </c>
      <c r="F381" s="11">
        <f>IF(B381="","",IF(G381-E381&lt;$B$2,"A",IF(G381-E381&lt;$B$3,"B","C")))</f>
        <v/>
      </c>
      <c r="G381" s="12">
        <f>IF(B381="","",SUMIF($D$8:$D$507,"&lt;="&amp;D381,$B$8:$B$507)/SUM($B$8:$B$507))</f>
        <v/>
      </c>
    </row>
    <row r="382">
      <c r="A382" s="9" t="n"/>
      <c r="B382" s="9" t="n"/>
      <c r="C382" s="10" t="n"/>
      <c r="D382" s="11">
        <f>IF(B382="","",RANK(B382,$B$8:$B$507)+COUNTIF(B$8:B382,B382)-1)</f>
        <v/>
      </c>
      <c r="E382" s="12">
        <f>IF(B382="","",B382/SUM($B$8:$B$507))</f>
        <v/>
      </c>
      <c r="F382" s="11">
        <f>IF(B382="","",IF(G382-E382&lt;$B$2,"A",IF(G382-E382&lt;$B$3,"B","C")))</f>
        <v/>
      </c>
      <c r="G382" s="12">
        <f>IF(B382="","",SUMIF($D$8:$D$507,"&lt;="&amp;D382,$B$8:$B$507)/SUM($B$8:$B$507))</f>
        <v/>
      </c>
    </row>
    <row r="383">
      <c r="A383" s="9" t="n"/>
      <c r="B383" s="9" t="n"/>
      <c r="C383" s="10" t="n"/>
      <c r="D383" s="11">
        <f>IF(B383="","",RANK(B383,$B$8:$B$507)+COUNTIF(B$8:B383,B383)-1)</f>
        <v/>
      </c>
      <c r="E383" s="12">
        <f>IF(B383="","",B383/SUM($B$8:$B$507))</f>
        <v/>
      </c>
      <c r="F383" s="11">
        <f>IF(B383="","",IF(G383-E383&lt;$B$2,"A",IF(G383-E383&lt;$B$3,"B","C")))</f>
        <v/>
      </c>
      <c r="G383" s="12">
        <f>IF(B383="","",SUMIF($D$8:$D$507,"&lt;="&amp;D383,$B$8:$B$507)/SUM($B$8:$B$507))</f>
        <v/>
      </c>
    </row>
    <row r="384">
      <c r="A384" s="9" t="n"/>
      <c r="B384" s="9" t="n"/>
      <c r="C384" s="10" t="n"/>
      <c r="D384" s="11">
        <f>IF(B384="","",RANK(B384,$B$8:$B$507)+COUNTIF(B$8:B384,B384)-1)</f>
        <v/>
      </c>
      <c r="E384" s="12">
        <f>IF(B384="","",B384/SUM($B$8:$B$507))</f>
        <v/>
      </c>
      <c r="F384" s="11">
        <f>IF(B384="","",IF(G384-E384&lt;$B$2,"A",IF(G384-E384&lt;$B$3,"B","C")))</f>
        <v/>
      </c>
      <c r="G384" s="12">
        <f>IF(B384="","",SUMIF($D$8:$D$507,"&lt;="&amp;D384,$B$8:$B$507)/SUM($B$8:$B$507))</f>
        <v/>
      </c>
    </row>
    <row r="385">
      <c r="A385" s="9" t="n"/>
      <c r="B385" s="9" t="n"/>
      <c r="C385" s="10" t="n"/>
      <c r="D385" s="11">
        <f>IF(B385="","",RANK(B385,$B$8:$B$507)+COUNTIF(B$8:B385,B385)-1)</f>
        <v/>
      </c>
      <c r="E385" s="12">
        <f>IF(B385="","",B385/SUM($B$8:$B$507))</f>
        <v/>
      </c>
      <c r="F385" s="11">
        <f>IF(B385="","",IF(G385-E385&lt;$B$2,"A",IF(G385-E385&lt;$B$3,"B","C")))</f>
        <v/>
      </c>
      <c r="G385" s="12">
        <f>IF(B385="","",SUMIF($D$8:$D$507,"&lt;="&amp;D385,$B$8:$B$507)/SUM($B$8:$B$507))</f>
        <v/>
      </c>
    </row>
    <row r="386">
      <c r="A386" s="9" t="n"/>
      <c r="B386" s="9" t="n"/>
      <c r="C386" s="10" t="n"/>
      <c r="D386" s="11">
        <f>IF(B386="","",RANK(B386,$B$8:$B$507)+COUNTIF(B$8:B386,B386)-1)</f>
        <v/>
      </c>
      <c r="E386" s="12">
        <f>IF(B386="","",B386/SUM($B$8:$B$507))</f>
        <v/>
      </c>
      <c r="F386" s="11">
        <f>IF(B386="","",IF(G386-E386&lt;$B$2,"A",IF(G386-E386&lt;$B$3,"B","C")))</f>
        <v/>
      </c>
      <c r="G386" s="12">
        <f>IF(B386="","",SUMIF($D$8:$D$507,"&lt;="&amp;D386,$B$8:$B$507)/SUM($B$8:$B$507))</f>
        <v/>
      </c>
    </row>
    <row r="387">
      <c r="A387" s="9" t="n"/>
      <c r="B387" s="9" t="n"/>
      <c r="C387" s="10" t="n"/>
      <c r="D387" s="11">
        <f>IF(B387="","",RANK(B387,$B$8:$B$507)+COUNTIF(B$8:B387,B387)-1)</f>
        <v/>
      </c>
      <c r="E387" s="12">
        <f>IF(B387="","",B387/SUM($B$8:$B$507))</f>
        <v/>
      </c>
      <c r="F387" s="11">
        <f>IF(B387="","",IF(G387-E387&lt;$B$2,"A",IF(G387-E387&lt;$B$3,"B","C")))</f>
        <v/>
      </c>
      <c r="G387" s="12">
        <f>IF(B387="","",SUMIF($D$8:$D$507,"&lt;="&amp;D387,$B$8:$B$507)/SUM($B$8:$B$507))</f>
        <v/>
      </c>
    </row>
    <row r="388">
      <c r="A388" s="9" t="n"/>
      <c r="B388" s="9" t="n"/>
      <c r="C388" s="10" t="n"/>
      <c r="D388" s="11">
        <f>IF(B388="","",RANK(B388,$B$8:$B$507)+COUNTIF(B$8:B388,B388)-1)</f>
        <v/>
      </c>
      <c r="E388" s="12">
        <f>IF(B388="","",B388/SUM($B$8:$B$507))</f>
        <v/>
      </c>
      <c r="F388" s="11">
        <f>IF(B388="","",IF(G388-E388&lt;$B$2,"A",IF(G388-E388&lt;$B$3,"B","C")))</f>
        <v/>
      </c>
      <c r="G388" s="12">
        <f>IF(B388="","",SUMIF($D$8:$D$507,"&lt;="&amp;D388,$B$8:$B$507)/SUM($B$8:$B$507))</f>
        <v/>
      </c>
    </row>
    <row r="389">
      <c r="A389" s="9" t="n"/>
      <c r="B389" s="9" t="n"/>
      <c r="C389" s="10" t="n"/>
      <c r="D389" s="11">
        <f>IF(B389="","",RANK(B389,$B$8:$B$507)+COUNTIF(B$8:B389,B389)-1)</f>
        <v/>
      </c>
      <c r="E389" s="12">
        <f>IF(B389="","",B389/SUM($B$8:$B$507))</f>
        <v/>
      </c>
      <c r="F389" s="11">
        <f>IF(B389="","",IF(G389-E389&lt;$B$2,"A",IF(G389-E389&lt;$B$3,"B","C")))</f>
        <v/>
      </c>
      <c r="G389" s="12">
        <f>IF(B389="","",SUMIF($D$8:$D$507,"&lt;="&amp;D389,$B$8:$B$507)/SUM($B$8:$B$507))</f>
        <v/>
      </c>
    </row>
    <row r="390">
      <c r="A390" s="9" t="n"/>
      <c r="B390" s="9" t="n"/>
      <c r="C390" s="10" t="n"/>
      <c r="D390" s="11">
        <f>IF(B390="","",RANK(B390,$B$8:$B$507)+COUNTIF(B$8:B390,B390)-1)</f>
        <v/>
      </c>
      <c r="E390" s="12">
        <f>IF(B390="","",B390/SUM($B$8:$B$507))</f>
        <v/>
      </c>
      <c r="F390" s="11">
        <f>IF(B390="","",IF(G390-E390&lt;$B$2,"A",IF(G390-E390&lt;$B$3,"B","C")))</f>
        <v/>
      </c>
      <c r="G390" s="12">
        <f>IF(B390="","",SUMIF($D$8:$D$507,"&lt;="&amp;D390,$B$8:$B$507)/SUM($B$8:$B$507))</f>
        <v/>
      </c>
    </row>
    <row r="391">
      <c r="A391" s="9" t="n"/>
      <c r="B391" s="9" t="n"/>
      <c r="C391" s="10" t="n"/>
      <c r="D391" s="11">
        <f>IF(B391="","",RANK(B391,$B$8:$B$507)+COUNTIF(B$8:B391,B391)-1)</f>
        <v/>
      </c>
      <c r="E391" s="12">
        <f>IF(B391="","",B391/SUM($B$8:$B$507))</f>
        <v/>
      </c>
      <c r="F391" s="11">
        <f>IF(B391="","",IF(G391-E391&lt;$B$2,"A",IF(G391-E391&lt;$B$3,"B","C")))</f>
        <v/>
      </c>
      <c r="G391" s="12">
        <f>IF(B391="","",SUMIF($D$8:$D$507,"&lt;="&amp;D391,$B$8:$B$507)/SUM($B$8:$B$507))</f>
        <v/>
      </c>
    </row>
    <row r="392">
      <c r="A392" s="9" t="n"/>
      <c r="B392" s="9" t="n"/>
      <c r="C392" s="10" t="n"/>
      <c r="D392" s="11">
        <f>IF(B392="","",RANK(B392,$B$8:$B$507)+COUNTIF(B$8:B392,B392)-1)</f>
        <v/>
      </c>
      <c r="E392" s="12">
        <f>IF(B392="","",B392/SUM($B$8:$B$507))</f>
        <v/>
      </c>
      <c r="F392" s="11">
        <f>IF(B392="","",IF(G392-E392&lt;$B$2,"A",IF(G392-E392&lt;$B$3,"B","C")))</f>
        <v/>
      </c>
      <c r="G392" s="12">
        <f>IF(B392="","",SUMIF($D$8:$D$507,"&lt;="&amp;D392,$B$8:$B$507)/SUM($B$8:$B$507))</f>
        <v/>
      </c>
    </row>
    <row r="393">
      <c r="A393" s="9" t="n"/>
      <c r="B393" s="9" t="n"/>
      <c r="C393" s="10" t="n"/>
      <c r="D393" s="11">
        <f>IF(B393="","",RANK(B393,$B$8:$B$507)+COUNTIF(B$8:B393,B393)-1)</f>
        <v/>
      </c>
      <c r="E393" s="12">
        <f>IF(B393="","",B393/SUM($B$8:$B$507))</f>
        <v/>
      </c>
      <c r="F393" s="11">
        <f>IF(B393="","",IF(G393-E393&lt;$B$2,"A",IF(G393-E393&lt;$B$3,"B","C")))</f>
        <v/>
      </c>
      <c r="G393" s="12">
        <f>IF(B393="","",SUMIF($D$8:$D$507,"&lt;="&amp;D393,$B$8:$B$507)/SUM($B$8:$B$507))</f>
        <v/>
      </c>
    </row>
    <row r="394">
      <c r="A394" s="9" t="n"/>
      <c r="B394" s="9" t="n"/>
      <c r="C394" s="10" t="n"/>
      <c r="D394" s="11">
        <f>IF(B394="","",RANK(B394,$B$8:$B$507)+COUNTIF(B$8:B394,B394)-1)</f>
        <v/>
      </c>
      <c r="E394" s="12">
        <f>IF(B394="","",B394/SUM($B$8:$B$507))</f>
        <v/>
      </c>
      <c r="F394" s="11">
        <f>IF(B394="","",IF(G394-E394&lt;$B$2,"A",IF(G394-E394&lt;$B$3,"B","C")))</f>
        <v/>
      </c>
      <c r="G394" s="12">
        <f>IF(B394="","",SUMIF($D$8:$D$507,"&lt;="&amp;D394,$B$8:$B$507)/SUM($B$8:$B$507))</f>
        <v/>
      </c>
    </row>
    <row r="395">
      <c r="A395" s="9" t="n"/>
      <c r="B395" s="9" t="n"/>
      <c r="C395" s="10" t="n"/>
      <c r="D395" s="11">
        <f>IF(B395="","",RANK(B395,$B$8:$B$507)+COUNTIF(B$8:B395,B395)-1)</f>
        <v/>
      </c>
      <c r="E395" s="12">
        <f>IF(B395="","",B395/SUM($B$8:$B$507))</f>
        <v/>
      </c>
      <c r="F395" s="11">
        <f>IF(B395="","",IF(G395-E395&lt;$B$2,"A",IF(G395-E395&lt;$B$3,"B","C")))</f>
        <v/>
      </c>
      <c r="G395" s="12">
        <f>IF(B395="","",SUMIF($D$8:$D$507,"&lt;="&amp;D395,$B$8:$B$507)/SUM($B$8:$B$507))</f>
        <v/>
      </c>
    </row>
    <row r="396">
      <c r="A396" s="9" t="n"/>
      <c r="B396" s="9" t="n"/>
      <c r="C396" s="10" t="n"/>
      <c r="D396" s="11">
        <f>IF(B396="","",RANK(B396,$B$8:$B$507)+COUNTIF(B$8:B396,B396)-1)</f>
        <v/>
      </c>
      <c r="E396" s="12">
        <f>IF(B396="","",B396/SUM($B$8:$B$507))</f>
        <v/>
      </c>
      <c r="F396" s="11">
        <f>IF(B396="","",IF(G396-E396&lt;$B$2,"A",IF(G396-E396&lt;$B$3,"B","C")))</f>
        <v/>
      </c>
      <c r="G396" s="12">
        <f>IF(B396="","",SUMIF($D$8:$D$507,"&lt;="&amp;D396,$B$8:$B$507)/SUM($B$8:$B$507))</f>
        <v/>
      </c>
    </row>
    <row r="397">
      <c r="A397" s="9" t="n"/>
      <c r="B397" s="9" t="n"/>
      <c r="C397" s="10" t="n"/>
      <c r="D397" s="11">
        <f>IF(B397="","",RANK(B397,$B$8:$B$507)+COUNTIF(B$8:B397,B397)-1)</f>
        <v/>
      </c>
      <c r="E397" s="12">
        <f>IF(B397="","",B397/SUM($B$8:$B$507))</f>
        <v/>
      </c>
      <c r="F397" s="11">
        <f>IF(B397="","",IF(G397-E397&lt;$B$2,"A",IF(G397-E397&lt;$B$3,"B","C")))</f>
        <v/>
      </c>
      <c r="G397" s="12">
        <f>IF(B397="","",SUMIF($D$8:$D$507,"&lt;="&amp;D397,$B$8:$B$507)/SUM($B$8:$B$507))</f>
        <v/>
      </c>
    </row>
    <row r="398">
      <c r="A398" s="9" t="n"/>
      <c r="B398" s="9" t="n"/>
      <c r="C398" s="10" t="n"/>
      <c r="D398" s="11">
        <f>IF(B398="","",RANK(B398,$B$8:$B$507)+COUNTIF(B$8:B398,B398)-1)</f>
        <v/>
      </c>
      <c r="E398" s="12">
        <f>IF(B398="","",B398/SUM($B$8:$B$507))</f>
        <v/>
      </c>
      <c r="F398" s="11">
        <f>IF(B398="","",IF(G398-E398&lt;$B$2,"A",IF(G398-E398&lt;$B$3,"B","C")))</f>
        <v/>
      </c>
      <c r="G398" s="12">
        <f>IF(B398="","",SUMIF($D$8:$D$507,"&lt;="&amp;D398,$B$8:$B$507)/SUM($B$8:$B$507))</f>
        <v/>
      </c>
    </row>
    <row r="399">
      <c r="A399" s="9" t="n"/>
      <c r="B399" s="9" t="n"/>
      <c r="C399" s="10" t="n"/>
      <c r="D399" s="11">
        <f>IF(B399="","",RANK(B399,$B$8:$B$507)+COUNTIF(B$8:B399,B399)-1)</f>
        <v/>
      </c>
      <c r="E399" s="12">
        <f>IF(B399="","",B399/SUM($B$8:$B$507))</f>
        <v/>
      </c>
      <c r="F399" s="11">
        <f>IF(B399="","",IF(G399-E399&lt;$B$2,"A",IF(G399-E399&lt;$B$3,"B","C")))</f>
        <v/>
      </c>
      <c r="G399" s="12">
        <f>IF(B399="","",SUMIF($D$8:$D$507,"&lt;="&amp;D399,$B$8:$B$507)/SUM($B$8:$B$507))</f>
        <v/>
      </c>
    </row>
    <row r="400">
      <c r="A400" s="9" t="n"/>
      <c r="B400" s="9" t="n"/>
      <c r="C400" s="10" t="n"/>
      <c r="D400" s="11">
        <f>IF(B400="","",RANK(B400,$B$8:$B$507)+COUNTIF(B$8:B400,B400)-1)</f>
        <v/>
      </c>
      <c r="E400" s="12">
        <f>IF(B400="","",B400/SUM($B$8:$B$507))</f>
        <v/>
      </c>
      <c r="F400" s="11">
        <f>IF(B400="","",IF(G400-E400&lt;$B$2,"A",IF(G400-E400&lt;$B$3,"B","C")))</f>
        <v/>
      </c>
      <c r="G400" s="12">
        <f>IF(B400="","",SUMIF($D$8:$D$507,"&lt;="&amp;D400,$B$8:$B$507)/SUM($B$8:$B$507))</f>
        <v/>
      </c>
    </row>
    <row r="401">
      <c r="A401" s="9" t="n"/>
      <c r="B401" s="9" t="n"/>
      <c r="C401" s="10" t="n"/>
      <c r="D401" s="11">
        <f>IF(B401="","",RANK(B401,$B$8:$B$507)+COUNTIF(B$8:B401,B401)-1)</f>
        <v/>
      </c>
      <c r="E401" s="12">
        <f>IF(B401="","",B401/SUM($B$8:$B$507))</f>
        <v/>
      </c>
      <c r="F401" s="11">
        <f>IF(B401="","",IF(G401-E401&lt;$B$2,"A",IF(G401-E401&lt;$B$3,"B","C")))</f>
        <v/>
      </c>
      <c r="G401" s="12">
        <f>IF(B401="","",SUMIF($D$8:$D$507,"&lt;="&amp;D401,$B$8:$B$507)/SUM($B$8:$B$507))</f>
        <v/>
      </c>
    </row>
    <row r="402">
      <c r="A402" s="9" t="n"/>
      <c r="B402" s="9" t="n"/>
      <c r="C402" s="10" t="n"/>
      <c r="D402" s="11">
        <f>IF(B402="","",RANK(B402,$B$8:$B$507)+COUNTIF(B$8:B402,B402)-1)</f>
        <v/>
      </c>
      <c r="E402" s="12">
        <f>IF(B402="","",B402/SUM($B$8:$B$507))</f>
        <v/>
      </c>
      <c r="F402" s="11">
        <f>IF(B402="","",IF(G402-E402&lt;$B$2,"A",IF(G402-E402&lt;$B$3,"B","C")))</f>
        <v/>
      </c>
      <c r="G402" s="12">
        <f>IF(B402="","",SUMIF($D$8:$D$507,"&lt;="&amp;D402,$B$8:$B$507)/SUM($B$8:$B$507))</f>
        <v/>
      </c>
    </row>
    <row r="403">
      <c r="A403" s="9" t="n"/>
      <c r="B403" s="9" t="n"/>
      <c r="C403" s="10" t="n"/>
      <c r="D403" s="11">
        <f>IF(B403="","",RANK(B403,$B$8:$B$507)+COUNTIF(B$8:B403,B403)-1)</f>
        <v/>
      </c>
      <c r="E403" s="12">
        <f>IF(B403="","",B403/SUM($B$8:$B$507))</f>
        <v/>
      </c>
      <c r="F403" s="11">
        <f>IF(B403="","",IF(G403-E403&lt;$B$2,"A",IF(G403-E403&lt;$B$3,"B","C")))</f>
        <v/>
      </c>
      <c r="G403" s="12">
        <f>IF(B403="","",SUMIF($D$8:$D$507,"&lt;="&amp;D403,$B$8:$B$507)/SUM($B$8:$B$507))</f>
        <v/>
      </c>
    </row>
    <row r="404">
      <c r="A404" s="9" t="n"/>
      <c r="B404" s="9" t="n"/>
      <c r="C404" s="10" t="n"/>
      <c r="D404" s="11">
        <f>IF(B404="","",RANK(B404,$B$8:$B$507)+COUNTIF(B$8:B404,B404)-1)</f>
        <v/>
      </c>
      <c r="E404" s="12">
        <f>IF(B404="","",B404/SUM($B$8:$B$507))</f>
        <v/>
      </c>
      <c r="F404" s="11">
        <f>IF(B404="","",IF(G404-E404&lt;$B$2,"A",IF(G404-E404&lt;$B$3,"B","C")))</f>
        <v/>
      </c>
      <c r="G404" s="12">
        <f>IF(B404="","",SUMIF($D$8:$D$507,"&lt;="&amp;D404,$B$8:$B$507)/SUM($B$8:$B$507))</f>
        <v/>
      </c>
    </row>
    <row r="405">
      <c r="A405" s="9" t="n"/>
      <c r="B405" s="9" t="n"/>
      <c r="C405" s="10" t="n"/>
      <c r="D405" s="11">
        <f>IF(B405="","",RANK(B405,$B$8:$B$507)+COUNTIF(B$8:B405,B405)-1)</f>
        <v/>
      </c>
      <c r="E405" s="12">
        <f>IF(B405="","",B405/SUM($B$8:$B$507))</f>
        <v/>
      </c>
      <c r="F405" s="11">
        <f>IF(B405="","",IF(G405-E405&lt;$B$2,"A",IF(G405-E405&lt;$B$3,"B","C")))</f>
        <v/>
      </c>
      <c r="G405" s="12">
        <f>IF(B405="","",SUMIF($D$8:$D$507,"&lt;="&amp;D405,$B$8:$B$507)/SUM($B$8:$B$507))</f>
        <v/>
      </c>
    </row>
    <row r="406">
      <c r="A406" s="9" t="n"/>
      <c r="B406" s="9" t="n"/>
      <c r="C406" s="10" t="n"/>
      <c r="D406" s="11">
        <f>IF(B406="","",RANK(B406,$B$8:$B$507)+COUNTIF(B$8:B406,B406)-1)</f>
        <v/>
      </c>
      <c r="E406" s="12">
        <f>IF(B406="","",B406/SUM($B$8:$B$507))</f>
        <v/>
      </c>
      <c r="F406" s="11">
        <f>IF(B406="","",IF(G406-E406&lt;$B$2,"A",IF(G406-E406&lt;$B$3,"B","C")))</f>
        <v/>
      </c>
      <c r="G406" s="12">
        <f>IF(B406="","",SUMIF($D$8:$D$507,"&lt;="&amp;D406,$B$8:$B$507)/SUM($B$8:$B$507))</f>
        <v/>
      </c>
    </row>
    <row r="407">
      <c r="A407" s="9" t="n"/>
      <c r="B407" s="9" t="n"/>
      <c r="C407" s="10" t="n"/>
      <c r="D407" s="11">
        <f>IF(B407="","",RANK(B407,$B$8:$B$507)+COUNTIF(B$8:B407,B407)-1)</f>
        <v/>
      </c>
      <c r="E407" s="12">
        <f>IF(B407="","",B407/SUM($B$8:$B$507))</f>
        <v/>
      </c>
      <c r="F407" s="11">
        <f>IF(B407="","",IF(G407-E407&lt;$B$2,"A",IF(G407-E407&lt;$B$3,"B","C")))</f>
        <v/>
      </c>
      <c r="G407" s="12">
        <f>IF(B407="","",SUMIF($D$8:$D$507,"&lt;="&amp;D407,$B$8:$B$507)/SUM($B$8:$B$507))</f>
        <v/>
      </c>
    </row>
    <row r="408">
      <c r="A408" s="9" t="n"/>
      <c r="B408" s="9" t="n"/>
      <c r="C408" s="10" t="n"/>
      <c r="D408" s="11">
        <f>IF(B408="","",RANK(B408,$B$8:$B$507)+COUNTIF(B$8:B408,B408)-1)</f>
        <v/>
      </c>
      <c r="E408" s="12">
        <f>IF(B408="","",B408/SUM($B$8:$B$507))</f>
        <v/>
      </c>
      <c r="F408" s="11">
        <f>IF(B408="","",IF(G408-E408&lt;$B$2,"A",IF(G408-E408&lt;$B$3,"B","C")))</f>
        <v/>
      </c>
      <c r="G408" s="12">
        <f>IF(B408="","",SUMIF($D$8:$D$507,"&lt;="&amp;D408,$B$8:$B$507)/SUM($B$8:$B$507))</f>
        <v/>
      </c>
    </row>
    <row r="409">
      <c r="A409" s="9" t="n"/>
      <c r="B409" s="9" t="n"/>
      <c r="C409" s="10" t="n"/>
      <c r="D409" s="11">
        <f>IF(B409="","",RANK(B409,$B$8:$B$507)+COUNTIF(B$8:B409,B409)-1)</f>
        <v/>
      </c>
      <c r="E409" s="12">
        <f>IF(B409="","",B409/SUM($B$8:$B$507))</f>
        <v/>
      </c>
      <c r="F409" s="11">
        <f>IF(B409="","",IF(G409-E409&lt;$B$2,"A",IF(G409-E409&lt;$B$3,"B","C")))</f>
        <v/>
      </c>
      <c r="G409" s="12">
        <f>IF(B409="","",SUMIF($D$8:$D$507,"&lt;="&amp;D409,$B$8:$B$507)/SUM($B$8:$B$507))</f>
        <v/>
      </c>
    </row>
    <row r="410">
      <c r="A410" s="9" t="n"/>
      <c r="B410" s="9" t="n"/>
      <c r="C410" s="10" t="n"/>
      <c r="D410" s="11">
        <f>IF(B410="","",RANK(B410,$B$8:$B$507)+COUNTIF(B$8:B410,B410)-1)</f>
        <v/>
      </c>
      <c r="E410" s="12">
        <f>IF(B410="","",B410/SUM($B$8:$B$507))</f>
        <v/>
      </c>
      <c r="F410" s="11">
        <f>IF(B410="","",IF(G410-E410&lt;$B$2,"A",IF(G410-E410&lt;$B$3,"B","C")))</f>
        <v/>
      </c>
      <c r="G410" s="12">
        <f>IF(B410="","",SUMIF($D$8:$D$507,"&lt;="&amp;D410,$B$8:$B$507)/SUM($B$8:$B$507))</f>
        <v/>
      </c>
    </row>
    <row r="411">
      <c r="A411" s="9" t="n"/>
      <c r="B411" s="9" t="n"/>
      <c r="C411" s="10" t="n"/>
      <c r="D411" s="11">
        <f>IF(B411="","",RANK(B411,$B$8:$B$507)+COUNTIF(B$8:B411,B411)-1)</f>
        <v/>
      </c>
      <c r="E411" s="12">
        <f>IF(B411="","",B411/SUM($B$8:$B$507))</f>
        <v/>
      </c>
      <c r="F411" s="11">
        <f>IF(B411="","",IF(G411-E411&lt;$B$2,"A",IF(G411-E411&lt;$B$3,"B","C")))</f>
        <v/>
      </c>
      <c r="G411" s="12">
        <f>IF(B411="","",SUMIF($D$8:$D$507,"&lt;="&amp;D411,$B$8:$B$507)/SUM($B$8:$B$507))</f>
        <v/>
      </c>
    </row>
    <row r="412">
      <c r="A412" s="9" t="n"/>
      <c r="B412" s="9" t="n"/>
      <c r="C412" s="10" t="n"/>
      <c r="D412" s="11">
        <f>IF(B412="","",RANK(B412,$B$8:$B$507)+COUNTIF(B$8:B412,B412)-1)</f>
        <v/>
      </c>
      <c r="E412" s="12">
        <f>IF(B412="","",B412/SUM($B$8:$B$507))</f>
        <v/>
      </c>
      <c r="F412" s="11">
        <f>IF(B412="","",IF(G412-E412&lt;$B$2,"A",IF(G412-E412&lt;$B$3,"B","C")))</f>
        <v/>
      </c>
      <c r="G412" s="12">
        <f>IF(B412="","",SUMIF($D$8:$D$507,"&lt;="&amp;D412,$B$8:$B$507)/SUM($B$8:$B$507))</f>
        <v/>
      </c>
    </row>
    <row r="413">
      <c r="A413" s="9" t="n"/>
      <c r="B413" s="9" t="n"/>
      <c r="C413" s="10" t="n"/>
      <c r="D413" s="11">
        <f>IF(B413="","",RANK(B413,$B$8:$B$507)+COUNTIF(B$8:B413,B413)-1)</f>
        <v/>
      </c>
      <c r="E413" s="12">
        <f>IF(B413="","",B413/SUM($B$8:$B$507))</f>
        <v/>
      </c>
      <c r="F413" s="11">
        <f>IF(B413="","",IF(G413-E413&lt;$B$2,"A",IF(G413-E413&lt;$B$3,"B","C")))</f>
        <v/>
      </c>
      <c r="G413" s="12">
        <f>IF(B413="","",SUMIF($D$8:$D$507,"&lt;="&amp;D413,$B$8:$B$507)/SUM($B$8:$B$507))</f>
        <v/>
      </c>
    </row>
    <row r="414">
      <c r="A414" s="9" t="n"/>
      <c r="B414" s="9" t="n"/>
      <c r="C414" s="10" t="n"/>
      <c r="D414" s="11">
        <f>IF(B414="","",RANK(B414,$B$8:$B$507)+COUNTIF(B$8:B414,B414)-1)</f>
        <v/>
      </c>
      <c r="E414" s="12">
        <f>IF(B414="","",B414/SUM($B$8:$B$507))</f>
        <v/>
      </c>
      <c r="F414" s="11">
        <f>IF(B414="","",IF(G414-E414&lt;$B$2,"A",IF(G414-E414&lt;$B$3,"B","C")))</f>
        <v/>
      </c>
      <c r="G414" s="12">
        <f>IF(B414="","",SUMIF($D$8:$D$507,"&lt;="&amp;D414,$B$8:$B$507)/SUM($B$8:$B$507))</f>
        <v/>
      </c>
    </row>
    <row r="415">
      <c r="A415" s="9" t="n"/>
      <c r="B415" s="9" t="n"/>
      <c r="C415" s="10" t="n"/>
      <c r="D415" s="11">
        <f>IF(B415="","",RANK(B415,$B$8:$B$507)+COUNTIF(B$8:B415,B415)-1)</f>
        <v/>
      </c>
      <c r="E415" s="12">
        <f>IF(B415="","",B415/SUM($B$8:$B$507))</f>
        <v/>
      </c>
      <c r="F415" s="11">
        <f>IF(B415="","",IF(G415-E415&lt;$B$2,"A",IF(G415-E415&lt;$B$3,"B","C")))</f>
        <v/>
      </c>
      <c r="G415" s="12">
        <f>IF(B415="","",SUMIF($D$8:$D$507,"&lt;="&amp;D415,$B$8:$B$507)/SUM($B$8:$B$507))</f>
        <v/>
      </c>
    </row>
    <row r="416">
      <c r="A416" s="9" t="n"/>
      <c r="B416" s="9" t="n"/>
      <c r="C416" s="10" t="n"/>
      <c r="D416" s="11">
        <f>IF(B416="","",RANK(B416,$B$8:$B$507)+COUNTIF(B$8:B416,B416)-1)</f>
        <v/>
      </c>
      <c r="E416" s="12">
        <f>IF(B416="","",B416/SUM($B$8:$B$507))</f>
        <v/>
      </c>
      <c r="F416" s="11">
        <f>IF(B416="","",IF(G416-E416&lt;$B$2,"A",IF(G416-E416&lt;$B$3,"B","C")))</f>
        <v/>
      </c>
      <c r="G416" s="12">
        <f>IF(B416="","",SUMIF($D$8:$D$507,"&lt;="&amp;D416,$B$8:$B$507)/SUM($B$8:$B$507))</f>
        <v/>
      </c>
    </row>
    <row r="417">
      <c r="A417" s="9" t="n"/>
      <c r="B417" s="9" t="n"/>
      <c r="C417" s="10" t="n"/>
      <c r="D417" s="11">
        <f>IF(B417="","",RANK(B417,$B$8:$B$507)+COUNTIF(B$8:B417,B417)-1)</f>
        <v/>
      </c>
      <c r="E417" s="12">
        <f>IF(B417="","",B417/SUM($B$8:$B$507))</f>
        <v/>
      </c>
      <c r="F417" s="11">
        <f>IF(B417="","",IF(G417-E417&lt;$B$2,"A",IF(G417-E417&lt;$B$3,"B","C")))</f>
        <v/>
      </c>
      <c r="G417" s="12">
        <f>IF(B417="","",SUMIF($D$8:$D$507,"&lt;="&amp;D417,$B$8:$B$507)/SUM($B$8:$B$507))</f>
        <v/>
      </c>
    </row>
    <row r="418">
      <c r="A418" s="9" t="n"/>
      <c r="B418" s="9" t="n"/>
      <c r="C418" s="10" t="n"/>
      <c r="D418" s="11">
        <f>IF(B418="","",RANK(B418,$B$8:$B$507)+COUNTIF(B$8:B418,B418)-1)</f>
        <v/>
      </c>
      <c r="E418" s="12">
        <f>IF(B418="","",B418/SUM($B$8:$B$507))</f>
        <v/>
      </c>
      <c r="F418" s="11">
        <f>IF(B418="","",IF(G418-E418&lt;$B$2,"A",IF(G418-E418&lt;$B$3,"B","C")))</f>
        <v/>
      </c>
      <c r="G418" s="12">
        <f>IF(B418="","",SUMIF($D$8:$D$507,"&lt;="&amp;D418,$B$8:$B$507)/SUM($B$8:$B$507))</f>
        <v/>
      </c>
    </row>
    <row r="419">
      <c r="A419" s="9" t="n"/>
      <c r="B419" s="9" t="n"/>
      <c r="C419" s="10" t="n"/>
      <c r="D419" s="11">
        <f>IF(B419="","",RANK(B419,$B$8:$B$507)+COUNTIF(B$8:B419,B419)-1)</f>
        <v/>
      </c>
      <c r="E419" s="12">
        <f>IF(B419="","",B419/SUM($B$8:$B$507))</f>
        <v/>
      </c>
      <c r="F419" s="11">
        <f>IF(B419="","",IF(G419-E419&lt;$B$2,"A",IF(G419-E419&lt;$B$3,"B","C")))</f>
        <v/>
      </c>
      <c r="G419" s="12">
        <f>IF(B419="","",SUMIF($D$8:$D$507,"&lt;="&amp;D419,$B$8:$B$507)/SUM($B$8:$B$507))</f>
        <v/>
      </c>
    </row>
    <row r="420">
      <c r="A420" s="9" t="n"/>
      <c r="B420" s="9" t="n"/>
      <c r="C420" s="10" t="n"/>
      <c r="D420" s="11">
        <f>IF(B420="","",RANK(B420,$B$8:$B$507)+COUNTIF(B$8:B420,B420)-1)</f>
        <v/>
      </c>
      <c r="E420" s="12">
        <f>IF(B420="","",B420/SUM($B$8:$B$507))</f>
        <v/>
      </c>
      <c r="F420" s="11">
        <f>IF(B420="","",IF(G420-E420&lt;$B$2,"A",IF(G420-E420&lt;$B$3,"B","C")))</f>
        <v/>
      </c>
      <c r="G420" s="12">
        <f>IF(B420="","",SUMIF($D$8:$D$507,"&lt;="&amp;D420,$B$8:$B$507)/SUM($B$8:$B$507))</f>
        <v/>
      </c>
    </row>
    <row r="421">
      <c r="A421" s="9" t="n"/>
      <c r="B421" s="9" t="n"/>
      <c r="C421" s="10" t="n"/>
      <c r="D421" s="11">
        <f>IF(B421="","",RANK(B421,$B$8:$B$507)+COUNTIF(B$8:B421,B421)-1)</f>
        <v/>
      </c>
      <c r="E421" s="12">
        <f>IF(B421="","",B421/SUM($B$8:$B$507))</f>
        <v/>
      </c>
      <c r="F421" s="11">
        <f>IF(B421="","",IF(G421-E421&lt;$B$2,"A",IF(G421-E421&lt;$B$3,"B","C")))</f>
        <v/>
      </c>
      <c r="G421" s="12">
        <f>IF(B421="","",SUMIF($D$8:$D$507,"&lt;="&amp;D421,$B$8:$B$507)/SUM($B$8:$B$507))</f>
        <v/>
      </c>
    </row>
    <row r="422">
      <c r="A422" s="9" t="n"/>
      <c r="B422" s="9" t="n"/>
      <c r="C422" s="10" t="n"/>
      <c r="D422" s="11">
        <f>IF(B422="","",RANK(B422,$B$8:$B$507)+COUNTIF(B$8:B422,B422)-1)</f>
        <v/>
      </c>
      <c r="E422" s="12">
        <f>IF(B422="","",B422/SUM($B$8:$B$507))</f>
        <v/>
      </c>
      <c r="F422" s="11">
        <f>IF(B422="","",IF(G422-E422&lt;$B$2,"A",IF(G422-E422&lt;$B$3,"B","C")))</f>
        <v/>
      </c>
      <c r="G422" s="12">
        <f>IF(B422="","",SUMIF($D$8:$D$507,"&lt;="&amp;D422,$B$8:$B$507)/SUM($B$8:$B$507))</f>
        <v/>
      </c>
    </row>
    <row r="423">
      <c r="A423" s="9" t="n"/>
      <c r="B423" s="9" t="n"/>
      <c r="C423" s="10" t="n"/>
      <c r="D423" s="11">
        <f>IF(B423="","",RANK(B423,$B$8:$B$507)+COUNTIF(B$8:B423,B423)-1)</f>
        <v/>
      </c>
      <c r="E423" s="12">
        <f>IF(B423="","",B423/SUM($B$8:$B$507))</f>
        <v/>
      </c>
      <c r="F423" s="11">
        <f>IF(B423="","",IF(G423-E423&lt;$B$2,"A",IF(G423-E423&lt;$B$3,"B","C")))</f>
        <v/>
      </c>
      <c r="G423" s="12">
        <f>IF(B423="","",SUMIF($D$8:$D$507,"&lt;="&amp;D423,$B$8:$B$507)/SUM($B$8:$B$507))</f>
        <v/>
      </c>
    </row>
    <row r="424">
      <c r="A424" s="9" t="n"/>
      <c r="B424" s="9" t="n"/>
      <c r="C424" s="10" t="n"/>
      <c r="D424" s="11">
        <f>IF(B424="","",RANK(B424,$B$8:$B$507)+COUNTIF(B$8:B424,B424)-1)</f>
        <v/>
      </c>
      <c r="E424" s="12">
        <f>IF(B424="","",B424/SUM($B$8:$B$507))</f>
        <v/>
      </c>
      <c r="F424" s="11">
        <f>IF(B424="","",IF(G424-E424&lt;$B$2,"A",IF(G424-E424&lt;$B$3,"B","C")))</f>
        <v/>
      </c>
      <c r="G424" s="12">
        <f>IF(B424="","",SUMIF($D$8:$D$507,"&lt;="&amp;D424,$B$8:$B$507)/SUM($B$8:$B$507))</f>
        <v/>
      </c>
    </row>
    <row r="425">
      <c r="A425" s="9" t="n"/>
      <c r="B425" s="9" t="n"/>
      <c r="C425" s="10" t="n"/>
      <c r="D425" s="11">
        <f>IF(B425="","",RANK(B425,$B$8:$B$507)+COUNTIF(B$8:B425,B425)-1)</f>
        <v/>
      </c>
      <c r="E425" s="12">
        <f>IF(B425="","",B425/SUM($B$8:$B$507))</f>
        <v/>
      </c>
      <c r="F425" s="11">
        <f>IF(B425="","",IF(G425-E425&lt;$B$2,"A",IF(G425-E425&lt;$B$3,"B","C")))</f>
        <v/>
      </c>
      <c r="G425" s="12">
        <f>IF(B425="","",SUMIF($D$8:$D$507,"&lt;="&amp;D425,$B$8:$B$507)/SUM($B$8:$B$507))</f>
        <v/>
      </c>
    </row>
    <row r="426">
      <c r="A426" s="9" t="n"/>
      <c r="B426" s="9" t="n"/>
      <c r="C426" s="10" t="n"/>
      <c r="D426" s="11">
        <f>IF(B426="","",RANK(B426,$B$8:$B$507)+COUNTIF(B$8:B426,B426)-1)</f>
        <v/>
      </c>
      <c r="E426" s="12">
        <f>IF(B426="","",B426/SUM($B$8:$B$507))</f>
        <v/>
      </c>
      <c r="F426" s="11">
        <f>IF(B426="","",IF(G426-E426&lt;$B$2,"A",IF(G426-E426&lt;$B$3,"B","C")))</f>
        <v/>
      </c>
      <c r="G426" s="12">
        <f>IF(B426="","",SUMIF($D$8:$D$507,"&lt;="&amp;D426,$B$8:$B$507)/SUM($B$8:$B$507))</f>
        <v/>
      </c>
    </row>
    <row r="427">
      <c r="A427" s="9" t="n"/>
      <c r="B427" s="9" t="n"/>
      <c r="C427" s="10" t="n"/>
      <c r="D427" s="11">
        <f>IF(B427="","",RANK(B427,$B$8:$B$507)+COUNTIF(B$8:B427,B427)-1)</f>
        <v/>
      </c>
      <c r="E427" s="12">
        <f>IF(B427="","",B427/SUM($B$8:$B$507))</f>
        <v/>
      </c>
      <c r="F427" s="11">
        <f>IF(B427="","",IF(G427-E427&lt;$B$2,"A",IF(G427-E427&lt;$B$3,"B","C")))</f>
        <v/>
      </c>
      <c r="G427" s="12">
        <f>IF(B427="","",SUMIF($D$8:$D$507,"&lt;="&amp;D427,$B$8:$B$507)/SUM($B$8:$B$507))</f>
        <v/>
      </c>
    </row>
    <row r="428">
      <c r="A428" s="9" t="n"/>
      <c r="B428" s="9" t="n"/>
      <c r="C428" s="10" t="n"/>
      <c r="D428" s="11">
        <f>IF(B428="","",RANK(B428,$B$8:$B$507)+COUNTIF(B$8:B428,B428)-1)</f>
        <v/>
      </c>
      <c r="E428" s="12">
        <f>IF(B428="","",B428/SUM($B$8:$B$507))</f>
        <v/>
      </c>
      <c r="F428" s="11">
        <f>IF(B428="","",IF(G428-E428&lt;$B$2,"A",IF(G428-E428&lt;$B$3,"B","C")))</f>
        <v/>
      </c>
      <c r="G428" s="12">
        <f>IF(B428="","",SUMIF($D$8:$D$507,"&lt;="&amp;D428,$B$8:$B$507)/SUM($B$8:$B$507))</f>
        <v/>
      </c>
    </row>
    <row r="429">
      <c r="A429" s="9" t="n"/>
      <c r="B429" s="9" t="n"/>
      <c r="C429" s="10" t="n"/>
      <c r="D429" s="11">
        <f>IF(B429="","",RANK(B429,$B$8:$B$507)+COUNTIF(B$8:B429,B429)-1)</f>
        <v/>
      </c>
      <c r="E429" s="12">
        <f>IF(B429="","",B429/SUM($B$8:$B$507))</f>
        <v/>
      </c>
      <c r="F429" s="11">
        <f>IF(B429="","",IF(G429-E429&lt;$B$2,"A",IF(G429-E429&lt;$B$3,"B","C")))</f>
        <v/>
      </c>
      <c r="G429" s="12">
        <f>IF(B429="","",SUMIF($D$8:$D$507,"&lt;="&amp;D429,$B$8:$B$507)/SUM($B$8:$B$507))</f>
        <v/>
      </c>
    </row>
    <row r="430">
      <c r="A430" s="9" t="n"/>
      <c r="B430" s="9" t="n"/>
      <c r="C430" s="10" t="n"/>
      <c r="D430" s="11">
        <f>IF(B430="","",RANK(B430,$B$8:$B$507)+COUNTIF(B$8:B430,B430)-1)</f>
        <v/>
      </c>
      <c r="E430" s="12">
        <f>IF(B430="","",B430/SUM($B$8:$B$507))</f>
        <v/>
      </c>
      <c r="F430" s="11">
        <f>IF(B430="","",IF(G430-E430&lt;$B$2,"A",IF(G430-E430&lt;$B$3,"B","C")))</f>
        <v/>
      </c>
      <c r="G430" s="12">
        <f>IF(B430="","",SUMIF($D$8:$D$507,"&lt;="&amp;D430,$B$8:$B$507)/SUM($B$8:$B$507))</f>
        <v/>
      </c>
    </row>
    <row r="431">
      <c r="A431" s="9" t="n"/>
      <c r="B431" s="9" t="n"/>
      <c r="C431" s="10" t="n"/>
      <c r="D431" s="11">
        <f>IF(B431="","",RANK(B431,$B$8:$B$507)+COUNTIF(B$8:B431,B431)-1)</f>
        <v/>
      </c>
      <c r="E431" s="12">
        <f>IF(B431="","",B431/SUM($B$8:$B$507))</f>
        <v/>
      </c>
      <c r="F431" s="11">
        <f>IF(B431="","",IF(G431-E431&lt;$B$2,"A",IF(G431-E431&lt;$B$3,"B","C")))</f>
        <v/>
      </c>
      <c r="G431" s="12">
        <f>IF(B431="","",SUMIF($D$8:$D$507,"&lt;="&amp;D431,$B$8:$B$507)/SUM($B$8:$B$507))</f>
        <v/>
      </c>
    </row>
    <row r="432">
      <c r="A432" s="9" t="n"/>
      <c r="B432" s="9" t="n"/>
      <c r="C432" s="10" t="n"/>
      <c r="D432" s="11">
        <f>IF(B432="","",RANK(B432,$B$8:$B$507)+COUNTIF(B$8:B432,B432)-1)</f>
        <v/>
      </c>
      <c r="E432" s="12">
        <f>IF(B432="","",B432/SUM($B$8:$B$507))</f>
        <v/>
      </c>
      <c r="F432" s="11">
        <f>IF(B432="","",IF(G432-E432&lt;$B$2,"A",IF(G432-E432&lt;$B$3,"B","C")))</f>
        <v/>
      </c>
      <c r="G432" s="12">
        <f>IF(B432="","",SUMIF($D$8:$D$507,"&lt;="&amp;D432,$B$8:$B$507)/SUM($B$8:$B$507))</f>
        <v/>
      </c>
    </row>
    <row r="433">
      <c r="A433" s="9" t="n"/>
      <c r="B433" s="9" t="n"/>
      <c r="C433" s="10" t="n"/>
      <c r="D433" s="11">
        <f>IF(B433="","",RANK(B433,$B$8:$B$507)+COUNTIF(B$8:B433,B433)-1)</f>
        <v/>
      </c>
      <c r="E433" s="12">
        <f>IF(B433="","",B433/SUM($B$8:$B$507))</f>
        <v/>
      </c>
      <c r="F433" s="11">
        <f>IF(B433="","",IF(G433-E433&lt;$B$2,"A",IF(G433-E433&lt;$B$3,"B","C")))</f>
        <v/>
      </c>
      <c r="G433" s="12">
        <f>IF(B433="","",SUMIF($D$8:$D$507,"&lt;="&amp;D433,$B$8:$B$507)/SUM($B$8:$B$507))</f>
        <v/>
      </c>
    </row>
    <row r="434">
      <c r="A434" s="9" t="n"/>
      <c r="B434" s="9" t="n"/>
      <c r="C434" s="10" t="n"/>
      <c r="D434" s="11">
        <f>IF(B434="","",RANK(B434,$B$8:$B$507)+COUNTIF(B$8:B434,B434)-1)</f>
        <v/>
      </c>
      <c r="E434" s="12">
        <f>IF(B434="","",B434/SUM($B$8:$B$507))</f>
        <v/>
      </c>
      <c r="F434" s="11">
        <f>IF(B434="","",IF(G434-E434&lt;$B$2,"A",IF(G434-E434&lt;$B$3,"B","C")))</f>
        <v/>
      </c>
      <c r="G434" s="12">
        <f>IF(B434="","",SUMIF($D$8:$D$507,"&lt;="&amp;D434,$B$8:$B$507)/SUM($B$8:$B$507))</f>
        <v/>
      </c>
    </row>
    <row r="435">
      <c r="A435" s="9" t="n"/>
      <c r="B435" s="9" t="n"/>
      <c r="C435" s="10" t="n"/>
      <c r="D435" s="11">
        <f>IF(B435="","",RANK(B435,$B$8:$B$507)+COUNTIF(B$8:B435,B435)-1)</f>
        <v/>
      </c>
      <c r="E435" s="12">
        <f>IF(B435="","",B435/SUM($B$8:$B$507))</f>
        <v/>
      </c>
      <c r="F435" s="11">
        <f>IF(B435="","",IF(G435-E435&lt;$B$2,"A",IF(G435-E435&lt;$B$3,"B","C")))</f>
        <v/>
      </c>
      <c r="G435" s="12">
        <f>IF(B435="","",SUMIF($D$8:$D$507,"&lt;="&amp;D435,$B$8:$B$507)/SUM($B$8:$B$507))</f>
        <v/>
      </c>
    </row>
    <row r="436">
      <c r="A436" s="9" t="n"/>
      <c r="B436" s="9" t="n"/>
      <c r="C436" s="10" t="n"/>
      <c r="D436" s="11">
        <f>IF(B436="","",RANK(B436,$B$8:$B$507)+COUNTIF(B$8:B436,B436)-1)</f>
        <v/>
      </c>
      <c r="E436" s="12">
        <f>IF(B436="","",B436/SUM($B$8:$B$507))</f>
        <v/>
      </c>
      <c r="F436" s="11">
        <f>IF(B436="","",IF(G436-E436&lt;$B$2,"A",IF(G436-E436&lt;$B$3,"B","C")))</f>
        <v/>
      </c>
      <c r="G436" s="12">
        <f>IF(B436="","",SUMIF($D$8:$D$507,"&lt;="&amp;D436,$B$8:$B$507)/SUM($B$8:$B$507))</f>
        <v/>
      </c>
    </row>
    <row r="437">
      <c r="A437" s="9" t="n"/>
      <c r="B437" s="9" t="n"/>
      <c r="C437" s="10" t="n"/>
      <c r="D437" s="11">
        <f>IF(B437="","",RANK(B437,$B$8:$B$507)+COUNTIF(B$8:B437,B437)-1)</f>
        <v/>
      </c>
      <c r="E437" s="12">
        <f>IF(B437="","",B437/SUM($B$8:$B$507))</f>
        <v/>
      </c>
      <c r="F437" s="11">
        <f>IF(B437="","",IF(G437-E437&lt;$B$2,"A",IF(G437-E437&lt;$B$3,"B","C")))</f>
        <v/>
      </c>
      <c r="G437" s="12">
        <f>IF(B437="","",SUMIF($D$8:$D$507,"&lt;="&amp;D437,$B$8:$B$507)/SUM($B$8:$B$507))</f>
        <v/>
      </c>
    </row>
    <row r="438">
      <c r="A438" s="9" t="n"/>
      <c r="B438" s="9" t="n"/>
      <c r="C438" s="10" t="n"/>
      <c r="D438" s="11">
        <f>IF(B438="","",RANK(B438,$B$8:$B$507)+COUNTIF(B$8:B438,B438)-1)</f>
        <v/>
      </c>
      <c r="E438" s="12">
        <f>IF(B438="","",B438/SUM($B$8:$B$507))</f>
        <v/>
      </c>
      <c r="F438" s="11">
        <f>IF(B438="","",IF(G438-E438&lt;$B$2,"A",IF(G438-E438&lt;$B$3,"B","C")))</f>
        <v/>
      </c>
      <c r="G438" s="12">
        <f>IF(B438="","",SUMIF($D$8:$D$507,"&lt;="&amp;D438,$B$8:$B$507)/SUM($B$8:$B$507))</f>
        <v/>
      </c>
    </row>
    <row r="439">
      <c r="A439" s="9" t="n"/>
      <c r="B439" s="9" t="n"/>
      <c r="C439" s="10" t="n"/>
      <c r="D439" s="11">
        <f>IF(B439="","",RANK(B439,$B$8:$B$507)+COUNTIF(B$8:B439,B439)-1)</f>
        <v/>
      </c>
      <c r="E439" s="12">
        <f>IF(B439="","",B439/SUM($B$8:$B$507))</f>
        <v/>
      </c>
      <c r="F439" s="11">
        <f>IF(B439="","",IF(G439-E439&lt;$B$2,"A",IF(G439-E439&lt;$B$3,"B","C")))</f>
        <v/>
      </c>
      <c r="G439" s="12">
        <f>IF(B439="","",SUMIF($D$8:$D$507,"&lt;="&amp;D439,$B$8:$B$507)/SUM($B$8:$B$507))</f>
        <v/>
      </c>
    </row>
    <row r="440">
      <c r="A440" s="9" t="n"/>
      <c r="B440" s="9" t="n"/>
      <c r="C440" s="10" t="n"/>
      <c r="D440" s="11">
        <f>IF(B440="","",RANK(B440,$B$8:$B$507)+COUNTIF(B$8:B440,B440)-1)</f>
        <v/>
      </c>
      <c r="E440" s="12">
        <f>IF(B440="","",B440/SUM($B$8:$B$507))</f>
        <v/>
      </c>
      <c r="F440" s="11">
        <f>IF(B440="","",IF(G440-E440&lt;$B$2,"A",IF(G440-E440&lt;$B$3,"B","C")))</f>
        <v/>
      </c>
      <c r="G440" s="12">
        <f>IF(B440="","",SUMIF($D$8:$D$507,"&lt;="&amp;D440,$B$8:$B$507)/SUM($B$8:$B$507))</f>
        <v/>
      </c>
    </row>
    <row r="441">
      <c r="A441" s="9" t="n"/>
      <c r="B441" s="9" t="n"/>
      <c r="C441" s="10" t="n"/>
      <c r="D441" s="11">
        <f>IF(B441="","",RANK(B441,$B$8:$B$507)+COUNTIF(B$8:B441,B441)-1)</f>
        <v/>
      </c>
      <c r="E441" s="12">
        <f>IF(B441="","",B441/SUM($B$8:$B$507))</f>
        <v/>
      </c>
      <c r="F441" s="11">
        <f>IF(B441="","",IF(G441-E441&lt;$B$2,"A",IF(G441-E441&lt;$B$3,"B","C")))</f>
        <v/>
      </c>
      <c r="G441" s="12">
        <f>IF(B441="","",SUMIF($D$8:$D$507,"&lt;="&amp;D441,$B$8:$B$507)/SUM($B$8:$B$507))</f>
        <v/>
      </c>
    </row>
    <row r="442">
      <c r="A442" s="9" t="n"/>
      <c r="B442" s="9" t="n"/>
      <c r="C442" s="10" t="n"/>
      <c r="D442" s="11">
        <f>IF(B442="","",RANK(B442,$B$8:$B$507)+COUNTIF(B$8:B442,B442)-1)</f>
        <v/>
      </c>
      <c r="E442" s="12">
        <f>IF(B442="","",B442/SUM($B$8:$B$507))</f>
        <v/>
      </c>
      <c r="F442" s="11">
        <f>IF(B442="","",IF(G442-E442&lt;$B$2,"A",IF(G442-E442&lt;$B$3,"B","C")))</f>
        <v/>
      </c>
      <c r="G442" s="12">
        <f>IF(B442="","",SUMIF($D$8:$D$507,"&lt;="&amp;D442,$B$8:$B$507)/SUM($B$8:$B$507))</f>
        <v/>
      </c>
    </row>
    <row r="443">
      <c r="A443" s="9" t="n"/>
      <c r="B443" s="9" t="n"/>
      <c r="C443" s="10" t="n"/>
      <c r="D443" s="11">
        <f>IF(B443="","",RANK(B443,$B$8:$B$507)+COUNTIF(B$8:B443,B443)-1)</f>
        <v/>
      </c>
      <c r="E443" s="12">
        <f>IF(B443="","",B443/SUM($B$8:$B$507))</f>
        <v/>
      </c>
      <c r="F443" s="11">
        <f>IF(B443="","",IF(G443-E443&lt;$B$2,"A",IF(G443-E443&lt;$B$3,"B","C")))</f>
        <v/>
      </c>
      <c r="G443" s="12">
        <f>IF(B443="","",SUMIF($D$8:$D$507,"&lt;="&amp;D443,$B$8:$B$507)/SUM($B$8:$B$507))</f>
        <v/>
      </c>
    </row>
    <row r="444">
      <c r="A444" s="9" t="n"/>
      <c r="B444" s="9" t="n"/>
      <c r="C444" s="10" t="n"/>
      <c r="D444" s="11">
        <f>IF(B444="","",RANK(B444,$B$8:$B$507)+COUNTIF(B$8:B444,B444)-1)</f>
        <v/>
      </c>
      <c r="E444" s="12">
        <f>IF(B444="","",B444/SUM($B$8:$B$507))</f>
        <v/>
      </c>
      <c r="F444" s="11">
        <f>IF(B444="","",IF(G444-E444&lt;$B$2,"A",IF(G444-E444&lt;$B$3,"B","C")))</f>
        <v/>
      </c>
      <c r="G444" s="12">
        <f>IF(B444="","",SUMIF($D$8:$D$507,"&lt;="&amp;D444,$B$8:$B$507)/SUM($B$8:$B$507))</f>
        <v/>
      </c>
    </row>
    <row r="445">
      <c r="A445" s="9" t="n"/>
      <c r="B445" s="9" t="n"/>
      <c r="C445" s="10" t="n"/>
      <c r="D445" s="11">
        <f>IF(B445="","",RANK(B445,$B$8:$B$507)+COUNTIF(B$8:B445,B445)-1)</f>
        <v/>
      </c>
      <c r="E445" s="12">
        <f>IF(B445="","",B445/SUM($B$8:$B$507))</f>
        <v/>
      </c>
      <c r="F445" s="11">
        <f>IF(B445="","",IF(G445-E445&lt;$B$2,"A",IF(G445-E445&lt;$B$3,"B","C")))</f>
        <v/>
      </c>
      <c r="G445" s="12">
        <f>IF(B445="","",SUMIF($D$8:$D$507,"&lt;="&amp;D445,$B$8:$B$507)/SUM($B$8:$B$507))</f>
        <v/>
      </c>
    </row>
    <row r="446">
      <c r="A446" s="9" t="n"/>
      <c r="B446" s="9" t="n"/>
      <c r="C446" s="10" t="n"/>
      <c r="D446" s="11">
        <f>IF(B446="","",RANK(B446,$B$8:$B$507)+COUNTIF(B$8:B446,B446)-1)</f>
        <v/>
      </c>
      <c r="E446" s="12">
        <f>IF(B446="","",B446/SUM($B$8:$B$507))</f>
        <v/>
      </c>
      <c r="F446" s="11">
        <f>IF(B446="","",IF(G446-E446&lt;$B$2,"A",IF(G446-E446&lt;$B$3,"B","C")))</f>
        <v/>
      </c>
      <c r="G446" s="12">
        <f>IF(B446="","",SUMIF($D$8:$D$507,"&lt;="&amp;D446,$B$8:$B$507)/SUM($B$8:$B$507))</f>
        <v/>
      </c>
    </row>
    <row r="447">
      <c r="A447" s="9" t="n"/>
      <c r="B447" s="9" t="n"/>
      <c r="C447" s="10" t="n"/>
      <c r="D447" s="11">
        <f>IF(B447="","",RANK(B447,$B$8:$B$507)+COUNTIF(B$8:B447,B447)-1)</f>
        <v/>
      </c>
      <c r="E447" s="12">
        <f>IF(B447="","",B447/SUM($B$8:$B$507))</f>
        <v/>
      </c>
      <c r="F447" s="11">
        <f>IF(B447="","",IF(G447-E447&lt;$B$2,"A",IF(G447-E447&lt;$B$3,"B","C")))</f>
        <v/>
      </c>
      <c r="G447" s="12">
        <f>IF(B447="","",SUMIF($D$8:$D$507,"&lt;="&amp;D447,$B$8:$B$507)/SUM($B$8:$B$507))</f>
        <v/>
      </c>
    </row>
    <row r="448">
      <c r="A448" s="9" t="n"/>
      <c r="B448" s="9" t="n"/>
      <c r="C448" s="10" t="n"/>
      <c r="D448" s="11">
        <f>IF(B448="","",RANK(B448,$B$8:$B$507)+COUNTIF(B$8:B448,B448)-1)</f>
        <v/>
      </c>
      <c r="E448" s="12">
        <f>IF(B448="","",B448/SUM($B$8:$B$507))</f>
        <v/>
      </c>
      <c r="F448" s="11">
        <f>IF(B448="","",IF(G448-E448&lt;$B$2,"A",IF(G448-E448&lt;$B$3,"B","C")))</f>
        <v/>
      </c>
      <c r="G448" s="12">
        <f>IF(B448="","",SUMIF($D$8:$D$507,"&lt;="&amp;D448,$B$8:$B$507)/SUM($B$8:$B$507))</f>
        <v/>
      </c>
    </row>
    <row r="449">
      <c r="A449" s="9" t="n"/>
      <c r="B449" s="9" t="n"/>
      <c r="C449" s="10" t="n"/>
      <c r="D449" s="11">
        <f>IF(B449="","",RANK(B449,$B$8:$B$507)+COUNTIF(B$8:B449,B449)-1)</f>
        <v/>
      </c>
      <c r="E449" s="12">
        <f>IF(B449="","",B449/SUM($B$8:$B$507))</f>
        <v/>
      </c>
      <c r="F449" s="11">
        <f>IF(B449="","",IF(G449-E449&lt;$B$2,"A",IF(G449-E449&lt;$B$3,"B","C")))</f>
        <v/>
      </c>
      <c r="G449" s="12">
        <f>IF(B449="","",SUMIF($D$8:$D$507,"&lt;="&amp;D449,$B$8:$B$507)/SUM($B$8:$B$507))</f>
        <v/>
      </c>
    </row>
    <row r="450">
      <c r="A450" s="9" t="n"/>
      <c r="B450" s="9" t="n"/>
      <c r="C450" s="10" t="n"/>
      <c r="D450" s="11">
        <f>IF(B450="","",RANK(B450,$B$8:$B$507)+COUNTIF(B$8:B450,B450)-1)</f>
        <v/>
      </c>
      <c r="E450" s="12">
        <f>IF(B450="","",B450/SUM($B$8:$B$507))</f>
        <v/>
      </c>
      <c r="F450" s="11">
        <f>IF(B450="","",IF(G450-E450&lt;$B$2,"A",IF(G450-E450&lt;$B$3,"B","C")))</f>
        <v/>
      </c>
      <c r="G450" s="12">
        <f>IF(B450="","",SUMIF($D$8:$D$507,"&lt;="&amp;D450,$B$8:$B$507)/SUM($B$8:$B$507))</f>
        <v/>
      </c>
    </row>
    <row r="451">
      <c r="A451" s="9" t="n"/>
      <c r="B451" s="9" t="n"/>
      <c r="C451" s="10" t="n"/>
      <c r="D451" s="11">
        <f>IF(B451="","",RANK(B451,$B$8:$B$507)+COUNTIF(B$8:B451,B451)-1)</f>
        <v/>
      </c>
      <c r="E451" s="12">
        <f>IF(B451="","",B451/SUM($B$8:$B$507))</f>
        <v/>
      </c>
      <c r="F451" s="11">
        <f>IF(B451="","",IF(G451-E451&lt;$B$2,"A",IF(G451-E451&lt;$B$3,"B","C")))</f>
        <v/>
      </c>
      <c r="G451" s="12">
        <f>IF(B451="","",SUMIF($D$8:$D$507,"&lt;="&amp;D451,$B$8:$B$507)/SUM($B$8:$B$507))</f>
        <v/>
      </c>
    </row>
    <row r="452">
      <c r="A452" s="9" t="n"/>
      <c r="B452" s="9" t="n"/>
      <c r="C452" s="10" t="n"/>
      <c r="D452" s="11">
        <f>IF(B452="","",RANK(B452,$B$8:$B$507)+COUNTIF(B$8:B452,B452)-1)</f>
        <v/>
      </c>
      <c r="E452" s="12">
        <f>IF(B452="","",B452/SUM($B$8:$B$507))</f>
        <v/>
      </c>
      <c r="F452" s="11">
        <f>IF(B452="","",IF(G452-E452&lt;$B$2,"A",IF(G452-E452&lt;$B$3,"B","C")))</f>
        <v/>
      </c>
      <c r="G452" s="12">
        <f>IF(B452="","",SUMIF($D$8:$D$507,"&lt;="&amp;D452,$B$8:$B$507)/SUM($B$8:$B$507))</f>
        <v/>
      </c>
    </row>
    <row r="453">
      <c r="A453" s="9" t="n"/>
      <c r="B453" s="9" t="n"/>
      <c r="C453" s="10" t="n"/>
      <c r="D453" s="11">
        <f>IF(B453="","",RANK(B453,$B$8:$B$507)+COUNTIF(B$8:B453,B453)-1)</f>
        <v/>
      </c>
      <c r="E453" s="12">
        <f>IF(B453="","",B453/SUM($B$8:$B$507))</f>
        <v/>
      </c>
      <c r="F453" s="11">
        <f>IF(B453="","",IF(G453-E453&lt;$B$2,"A",IF(G453-E453&lt;$B$3,"B","C")))</f>
        <v/>
      </c>
      <c r="G453" s="12">
        <f>IF(B453="","",SUMIF($D$8:$D$507,"&lt;="&amp;D453,$B$8:$B$507)/SUM($B$8:$B$507))</f>
        <v/>
      </c>
    </row>
    <row r="454">
      <c r="A454" s="9" t="n"/>
      <c r="B454" s="9" t="n"/>
      <c r="C454" s="10" t="n"/>
      <c r="D454" s="11">
        <f>IF(B454="","",RANK(B454,$B$8:$B$507)+COUNTIF(B$8:B454,B454)-1)</f>
        <v/>
      </c>
      <c r="E454" s="12">
        <f>IF(B454="","",B454/SUM($B$8:$B$507))</f>
        <v/>
      </c>
      <c r="F454" s="11">
        <f>IF(B454="","",IF(G454-E454&lt;$B$2,"A",IF(G454-E454&lt;$B$3,"B","C")))</f>
        <v/>
      </c>
      <c r="G454" s="12">
        <f>IF(B454="","",SUMIF($D$8:$D$507,"&lt;="&amp;D454,$B$8:$B$507)/SUM($B$8:$B$507))</f>
        <v/>
      </c>
    </row>
    <row r="455">
      <c r="A455" s="9" t="n"/>
      <c r="B455" s="9" t="n"/>
      <c r="C455" s="10" t="n"/>
      <c r="D455" s="11">
        <f>IF(B455="","",RANK(B455,$B$8:$B$507)+COUNTIF(B$8:B455,B455)-1)</f>
        <v/>
      </c>
      <c r="E455" s="12">
        <f>IF(B455="","",B455/SUM($B$8:$B$507))</f>
        <v/>
      </c>
      <c r="F455" s="11">
        <f>IF(B455="","",IF(G455-E455&lt;$B$2,"A",IF(G455-E455&lt;$B$3,"B","C")))</f>
        <v/>
      </c>
      <c r="G455" s="12">
        <f>IF(B455="","",SUMIF($D$8:$D$507,"&lt;="&amp;D455,$B$8:$B$507)/SUM($B$8:$B$507))</f>
        <v/>
      </c>
    </row>
    <row r="456">
      <c r="A456" s="9" t="n"/>
      <c r="B456" s="9" t="n"/>
      <c r="C456" s="10" t="n"/>
      <c r="D456" s="11">
        <f>IF(B456="","",RANK(B456,$B$8:$B$507)+COUNTIF(B$8:B456,B456)-1)</f>
        <v/>
      </c>
      <c r="E456" s="12">
        <f>IF(B456="","",B456/SUM($B$8:$B$507))</f>
        <v/>
      </c>
      <c r="F456" s="11">
        <f>IF(B456="","",IF(G456-E456&lt;$B$2,"A",IF(G456-E456&lt;$B$3,"B","C")))</f>
        <v/>
      </c>
      <c r="G456" s="12">
        <f>IF(B456="","",SUMIF($D$8:$D$507,"&lt;="&amp;D456,$B$8:$B$507)/SUM($B$8:$B$507))</f>
        <v/>
      </c>
    </row>
    <row r="457">
      <c r="A457" s="9" t="n"/>
      <c r="B457" s="9" t="n"/>
      <c r="C457" s="10" t="n"/>
      <c r="D457" s="11">
        <f>IF(B457="","",RANK(B457,$B$8:$B$507)+COUNTIF(B$8:B457,B457)-1)</f>
        <v/>
      </c>
      <c r="E457" s="12">
        <f>IF(B457="","",B457/SUM($B$8:$B$507))</f>
        <v/>
      </c>
      <c r="F457" s="11">
        <f>IF(B457="","",IF(G457-E457&lt;$B$2,"A",IF(G457-E457&lt;$B$3,"B","C")))</f>
        <v/>
      </c>
      <c r="G457" s="12">
        <f>IF(B457="","",SUMIF($D$8:$D$507,"&lt;="&amp;D457,$B$8:$B$507)/SUM($B$8:$B$507))</f>
        <v/>
      </c>
    </row>
    <row r="458">
      <c r="A458" s="9" t="n"/>
      <c r="B458" s="9" t="n"/>
      <c r="C458" s="10" t="n"/>
      <c r="D458" s="11">
        <f>IF(B458="","",RANK(B458,$B$8:$B$507)+COUNTIF(B$8:B458,B458)-1)</f>
        <v/>
      </c>
      <c r="E458" s="12">
        <f>IF(B458="","",B458/SUM($B$8:$B$507))</f>
        <v/>
      </c>
      <c r="F458" s="11">
        <f>IF(B458="","",IF(G458-E458&lt;$B$2,"A",IF(G458-E458&lt;$B$3,"B","C")))</f>
        <v/>
      </c>
      <c r="G458" s="12">
        <f>IF(B458="","",SUMIF($D$8:$D$507,"&lt;="&amp;D458,$B$8:$B$507)/SUM($B$8:$B$507))</f>
        <v/>
      </c>
    </row>
    <row r="459">
      <c r="A459" s="9" t="n"/>
      <c r="B459" s="9" t="n"/>
      <c r="C459" s="10" t="n"/>
      <c r="D459" s="11">
        <f>IF(B459="","",RANK(B459,$B$8:$B$507)+COUNTIF(B$8:B459,B459)-1)</f>
        <v/>
      </c>
      <c r="E459" s="12">
        <f>IF(B459="","",B459/SUM($B$8:$B$507))</f>
        <v/>
      </c>
      <c r="F459" s="11">
        <f>IF(B459="","",IF(G459-E459&lt;$B$2,"A",IF(G459-E459&lt;$B$3,"B","C")))</f>
        <v/>
      </c>
      <c r="G459" s="12">
        <f>IF(B459="","",SUMIF($D$8:$D$507,"&lt;="&amp;D459,$B$8:$B$507)/SUM($B$8:$B$507))</f>
        <v/>
      </c>
    </row>
    <row r="460">
      <c r="A460" s="9" t="n"/>
      <c r="B460" s="9" t="n"/>
      <c r="C460" s="10" t="n"/>
      <c r="D460" s="11">
        <f>IF(B460="","",RANK(B460,$B$8:$B$507)+COUNTIF(B$8:B460,B460)-1)</f>
        <v/>
      </c>
      <c r="E460" s="12">
        <f>IF(B460="","",B460/SUM($B$8:$B$507))</f>
        <v/>
      </c>
      <c r="F460" s="11">
        <f>IF(B460="","",IF(G460-E460&lt;$B$2,"A",IF(G460-E460&lt;$B$3,"B","C")))</f>
        <v/>
      </c>
      <c r="G460" s="12">
        <f>IF(B460="","",SUMIF($D$8:$D$507,"&lt;="&amp;D460,$B$8:$B$507)/SUM($B$8:$B$507))</f>
        <v/>
      </c>
    </row>
    <row r="461">
      <c r="A461" s="9" t="n"/>
      <c r="B461" s="9" t="n"/>
      <c r="C461" s="10" t="n"/>
      <c r="D461" s="11">
        <f>IF(B461="","",RANK(B461,$B$8:$B$507)+COUNTIF(B$8:B461,B461)-1)</f>
        <v/>
      </c>
      <c r="E461" s="12">
        <f>IF(B461="","",B461/SUM($B$8:$B$507))</f>
        <v/>
      </c>
      <c r="F461" s="11">
        <f>IF(B461="","",IF(G461-E461&lt;$B$2,"A",IF(G461-E461&lt;$B$3,"B","C")))</f>
        <v/>
      </c>
      <c r="G461" s="12">
        <f>IF(B461="","",SUMIF($D$8:$D$507,"&lt;="&amp;D461,$B$8:$B$507)/SUM($B$8:$B$507))</f>
        <v/>
      </c>
    </row>
    <row r="462">
      <c r="A462" s="9" t="n"/>
      <c r="B462" s="9" t="n"/>
      <c r="C462" s="10" t="n"/>
      <c r="D462" s="11">
        <f>IF(B462="","",RANK(B462,$B$8:$B$507)+COUNTIF(B$8:B462,B462)-1)</f>
        <v/>
      </c>
      <c r="E462" s="12">
        <f>IF(B462="","",B462/SUM($B$8:$B$507))</f>
        <v/>
      </c>
      <c r="F462" s="11">
        <f>IF(B462="","",IF(G462-E462&lt;$B$2,"A",IF(G462-E462&lt;$B$3,"B","C")))</f>
        <v/>
      </c>
      <c r="G462" s="12">
        <f>IF(B462="","",SUMIF($D$8:$D$507,"&lt;="&amp;D462,$B$8:$B$507)/SUM($B$8:$B$507))</f>
        <v/>
      </c>
    </row>
    <row r="463">
      <c r="A463" s="9" t="n"/>
      <c r="B463" s="9" t="n"/>
      <c r="C463" s="10" t="n"/>
      <c r="D463" s="11">
        <f>IF(B463="","",RANK(B463,$B$8:$B$507)+COUNTIF(B$8:B463,B463)-1)</f>
        <v/>
      </c>
      <c r="E463" s="12">
        <f>IF(B463="","",B463/SUM($B$8:$B$507))</f>
        <v/>
      </c>
      <c r="F463" s="11">
        <f>IF(B463="","",IF(G463-E463&lt;$B$2,"A",IF(G463-E463&lt;$B$3,"B","C")))</f>
        <v/>
      </c>
      <c r="G463" s="12">
        <f>IF(B463="","",SUMIF($D$8:$D$507,"&lt;="&amp;D463,$B$8:$B$507)/SUM($B$8:$B$507))</f>
        <v/>
      </c>
    </row>
    <row r="464">
      <c r="A464" s="9" t="n"/>
      <c r="B464" s="9" t="n"/>
      <c r="C464" s="10" t="n"/>
      <c r="D464" s="11">
        <f>IF(B464="","",RANK(B464,$B$8:$B$507)+COUNTIF(B$8:B464,B464)-1)</f>
        <v/>
      </c>
      <c r="E464" s="12">
        <f>IF(B464="","",B464/SUM($B$8:$B$507))</f>
        <v/>
      </c>
      <c r="F464" s="11">
        <f>IF(B464="","",IF(G464-E464&lt;$B$2,"A",IF(G464-E464&lt;$B$3,"B","C")))</f>
        <v/>
      </c>
      <c r="G464" s="12">
        <f>IF(B464="","",SUMIF($D$8:$D$507,"&lt;="&amp;D464,$B$8:$B$507)/SUM($B$8:$B$507))</f>
        <v/>
      </c>
    </row>
    <row r="465">
      <c r="A465" s="9" t="n"/>
      <c r="B465" s="9" t="n"/>
      <c r="C465" s="10" t="n"/>
      <c r="D465" s="11">
        <f>IF(B465="","",RANK(B465,$B$8:$B$507)+COUNTIF(B$8:B465,B465)-1)</f>
        <v/>
      </c>
      <c r="E465" s="12">
        <f>IF(B465="","",B465/SUM($B$8:$B$507))</f>
        <v/>
      </c>
      <c r="F465" s="11">
        <f>IF(B465="","",IF(G465-E465&lt;$B$2,"A",IF(G465-E465&lt;$B$3,"B","C")))</f>
        <v/>
      </c>
      <c r="G465" s="12">
        <f>IF(B465="","",SUMIF($D$8:$D$507,"&lt;="&amp;D465,$B$8:$B$507)/SUM($B$8:$B$507))</f>
        <v/>
      </c>
    </row>
    <row r="466">
      <c r="A466" s="9" t="n"/>
      <c r="B466" s="9" t="n"/>
      <c r="C466" s="10" t="n"/>
      <c r="D466" s="11">
        <f>IF(B466="","",RANK(B466,$B$8:$B$507)+COUNTIF(B$8:B466,B466)-1)</f>
        <v/>
      </c>
      <c r="E466" s="12">
        <f>IF(B466="","",B466/SUM($B$8:$B$507))</f>
        <v/>
      </c>
      <c r="F466" s="11">
        <f>IF(B466="","",IF(G466-E466&lt;$B$2,"A",IF(G466-E466&lt;$B$3,"B","C")))</f>
        <v/>
      </c>
      <c r="G466" s="12">
        <f>IF(B466="","",SUMIF($D$8:$D$507,"&lt;="&amp;D466,$B$8:$B$507)/SUM($B$8:$B$507))</f>
        <v/>
      </c>
    </row>
    <row r="467">
      <c r="A467" s="9" t="n"/>
      <c r="B467" s="9" t="n"/>
      <c r="C467" s="10" t="n"/>
      <c r="D467" s="11">
        <f>IF(B467="","",RANK(B467,$B$8:$B$507)+COUNTIF(B$8:B467,B467)-1)</f>
        <v/>
      </c>
      <c r="E467" s="12">
        <f>IF(B467="","",B467/SUM($B$8:$B$507))</f>
        <v/>
      </c>
      <c r="F467" s="11">
        <f>IF(B467="","",IF(G467-E467&lt;$B$2,"A",IF(G467-E467&lt;$B$3,"B","C")))</f>
        <v/>
      </c>
      <c r="G467" s="12">
        <f>IF(B467="","",SUMIF($D$8:$D$507,"&lt;="&amp;D467,$B$8:$B$507)/SUM($B$8:$B$507))</f>
        <v/>
      </c>
    </row>
    <row r="468">
      <c r="A468" s="9" t="n"/>
      <c r="B468" s="9" t="n"/>
      <c r="C468" s="10" t="n"/>
      <c r="D468" s="11">
        <f>IF(B468="","",RANK(B468,$B$8:$B$507)+COUNTIF(B$8:B468,B468)-1)</f>
        <v/>
      </c>
      <c r="E468" s="12">
        <f>IF(B468="","",B468/SUM($B$8:$B$507))</f>
        <v/>
      </c>
      <c r="F468" s="11">
        <f>IF(B468="","",IF(G468-E468&lt;$B$2,"A",IF(G468-E468&lt;$B$3,"B","C")))</f>
        <v/>
      </c>
      <c r="G468" s="12">
        <f>IF(B468="","",SUMIF($D$8:$D$507,"&lt;="&amp;D468,$B$8:$B$507)/SUM($B$8:$B$507))</f>
        <v/>
      </c>
    </row>
    <row r="469">
      <c r="A469" s="9" t="n"/>
      <c r="B469" s="9" t="n"/>
      <c r="C469" s="10" t="n"/>
      <c r="D469" s="11">
        <f>IF(B469="","",RANK(B469,$B$8:$B$507)+COUNTIF(B$8:B469,B469)-1)</f>
        <v/>
      </c>
      <c r="E469" s="12">
        <f>IF(B469="","",B469/SUM($B$8:$B$507))</f>
        <v/>
      </c>
      <c r="F469" s="11">
        <f>IF(B469="","",IF(G469-E469&lt;$B$2,"A",IF(G469-E469&lt;$B$3,"B","C")))</f>
        <v/>
      </c>
      <c r="G469" s="12">
        <f>IF(B469="","",SUMIF($D$8:$D$507,"&lt;="&amp;D469,$B$8:$B$507)/SUM($B$8:$B$507))</f>
        <v/>
      </c>
    </row>
    <row r="470">
      <c r="A470" s="9" t="n"/>
      <c r="B470" s="9" t="n"/>
      <c r="C470" s="10" t="n"/>
      <c r="D470" s="11">
        <f>IF(B470="","",RANK(B470,$B$8:$B$507)+COUNTIF(B$8:B470,B470)-1)</f>
        <v/>
      </c>
      <c r="E470" s="12">
        <f>IF(B470="","",B470/SUM($B$8:$B$507))</f>
        <v/>
      </c>
      <c r="F470" s="11">
        <f>IF(B470="","",IF(G470-E470&lt;$B$2,"A",IF(G470-E470&lt;$B$3,"B","C")))</f>
        <v/>
      </c>
      <c r="G470" s="12">
        <f>IF(B470="","",SUMIF($D$8:$D$507,"&lt;="&amp;D470,$B$8:$B$507)/SUM($B$8:$B$507))</f>
        <v/>
      </c>
    </row>
    <row r="471">
      <c r="A471" s="9" t="n"/>
      <c r="B471" s="9" t="n"/>
      <c r="C471" s="10" t="n"/>
      <c r="D471" s="11">
        <f>IF(B471="","",RANK(B471,$B$8:$B$507)+COUNTIF(B$8:B471,B471)-1)</f>
        <v/>
      </c>
      <c r="E471" s="12">
        <f>IF(B471="","",B471/SUM($B$8:$B$507))</f>
        <v/>
      </c>
      <c r="F471" s="11">
        <f>IF(B471="","",IF(G471-E471&lt;$B$2,"A",IF(G471-E471&lt;$B$3,"B","C")))</f>
        <v/>
      </c>
      <c r="G471" s="12">
        <f>IF(B471="","",SUMIF($D$8:$D$507,"&lt;="&amp;D471,$B$8:$B$507)/SUM($B$8:$B$507))</f>
        <v/>
      </c>
    </row>
    <row r="472">
      <c r="A472" s="9" t="n"/>
      <c r="B472" s="9" t="n"/>
      <c r="C472" s="10" t="n"/>
      <c r="D472" s="11">
        <f>IF(B472="","",RANK(B472,$B$8:$B$507)+COUNTIF(B$8:B472,B472)-1)</f>
        <v/>
      </c>
      <c r="E472" s="12">
        <f>IF(B472="","",B472/SUM($B$8:$B$507))</f>
        <v/>
      </c>
      <c r="F472" s="11">
        <f>IF(B472="","",IF(G472-E472&lt;$B$2,"A",IF(G472-E472&lt;$B$3,"B","C")))</f>
        <v/>
      </c>
      <c r="G472" s="12">
        <f>IF(B472="","",SUMIF($D$8:$D$507,"&lt;="&amp;D472,$B$8:$B$507)/SUM($B$8:$B$507))</f>
        <v/>
      </c>
    </row>
    <row r="473">
      <c r="A473" s="9" t="n"/>
      <c r="B473" s="9" t="n"/>
      <c r="C473" s="10" t="n"/>
      <c r="D473" s="11">
        <f>IF(B473="","",RANK(B473,$B$8:$B$507)+COUNTIF(B$8:B473,B473)-1)</f>
        <v/>
      </c>
      <c r="E473" s="12">
        <f>IF(B473="","",B473/SUM($B$8:$B$507))</f>
        <v/>
      </c>
      <c r="F473" s="11">
        <f>IF(B473="","",IF(G473-E473&lt;$B$2,"A",IF(G473-E473&lt;$B$3,"B","C")))</f>
        <v/>
      </c>
      <c r="G473" s="12">
        <f>IF(B473="","",SUMIF($D$8:$D$507,"&lt;="&amp;D473,$B$8:$B$507)/SUM($B$8:$B$507))</f>
        <v/>
      </c>
    </row>
    <row r="474">
      <c r="A474" s="9" t="n"/>
      <c r="B474" s="9" t="n"/>
      <c r="C474" s="10" t="n"/>
      <c r="D474" s="11">
        <f>IF(B474="","",RANK(B474,$B$8:$B$507)+COUNTIF(B$8:B474,B474)-1)</f>
        <v/>
      </c>
      <c r="E474" s="12">
        <f>IF(B474="","",B474/SUM($B$8:$B$507))</f>
        <v/>
      </c>
      <c r="F474" s="11">
        <f>IF(B474="","",IF(G474-E474&lt;$B$2,"A",IF(G474-E474&lt;$B$3,"B","C")))</f>
        <v/>
      </c>
      <c r="G474" s="12">
        <f>IF(B474="","",SUMIF($D$8:$D$507,"&lt;="&amp;D474,$B$8:$B$507)/SUM($B$8:$B$507))</f>
        <v/>
      </c>
    </row>
    <row r="475">
      <c r="A475" s="9" t="n"/>
      <c r="B475" s="9" t="n"/>
      <c r="C475" s="10" t="n"/>
      <c r="D475" s="11">
        <f>IF(B475="","",RANK(B475,$B$8:$B$507)+COUNTIF(B$8:B475,B475)-1)</f>
        <v/>
      </c>
      <c r="E475" s="12">
        <f>IF(B475="","",B475/SUM($B$8:$B$507))</f>
        <v/>
      </c>
      <c r="F475" s="11">
        <f>IF(B475="","",IF(G475-E475&lt;$B$2,"A",IF(G475-E475&lt;$B$3,"B","C")))</f>
        <v/>
      </c>
      <c r="G475" s="12">
        <f>IF(B475="","",SUMIF($D$8:$D$507,"&lt;="&amp;D475,$B$8:$B$507)/SUM($B$8:$B$507))</f>
        <v/>
      </c>
    </row>
    <row r="476">
      <c r="A476" s="9" t="n"/>
      <c r="B476" s="9" t="n"/>
      <c r="C476" s="10" t="n"/>
      <c r="D476" s="11">
        <f>IF(B476="","",RANK(B476,$B$8:$B$507)+COUNTIF(B$8:B476,B476)-1)</f>
        <v/>
      </c>
      <c r="E476" s="12">
        <f>IF(B476="","",B476/SUM($B$8:$B$507))</f>
        <v/>
      </c>
      <c r="F476" s="11">
        <f>IF(B476="","",IF(G476-E476&lt;$B$2,"A",IF(G476-E476&lt;$B$3,"B","C")))</f>
        <v/>
      </c>
      <c r="G476" s="12">
        <f>IF(B476="","",SUMIF($D$8:$D$507,"&lt;="&amp;D476,$B$8:$B$507)/SUM($B$8:$B$507))</f>
        <v/>
      </c>
    </row>
    <row r="477">
      <c r="A477" s="9" t="n"/>
      <c r="B477" s="9" t="n"/>
      <c r="C477" s="10" t="n"/>
      <c r="D477" s="11">
        <f>IF(B477="","",RANK(B477,$B$8:$B$507)+COUNTIF(B$8:B477,B477)-1)</f>
        <v/>
      </c>
      <c r="E477" s="12">
        <f>IF(B477="","",B477/SUM($B$8:$B$507))</f>
        <v/>
      </c>
      <c r="F477" s="11">
        <f>IF(B477="","",IF(G477-E477&lt;$B$2,"A",IF(G477-E477&lt;$B$3,"B","C")))</f>
        <v/>
      </c>
      <c r="G477" s="12">
        <f>IF(B477="","",SUMIF($D$8:$D$507,"&lt;="&amp;D477,$B$8:$B$507)/SUM($B$8:$B$507))</f>
        <v/>
      </c>
    </row>
    <row r="478">
      <c r="A478" s="9" t="n"/>
      <c r="B478" s="9" t="n"/>
      <c r="C478" s="10" t="n"/>
      <c r="D478" s="11">
        <f>IF(B478="","",RANK(B478,$B$8:$B$507)+COUNTIF(B$8:B478,B478)-1)</f>
        <v/>
      </c>
      <c r="E478" s="12">
        <f>IF(B478="","",B478/SUM($B$8:$B$507))</f>
        <v/>
      </c>
      <c r="F478" s="11">
        <f>IF(B478="","",IF(G478-E478&lt;$B$2,"A",IF(G478-E478&lt;$B$3,"B","C")))</f>
        <v/>
      </c>
      <c r="G478" s="12">
        <f>IF(B478="","",SUMIF($D$8:$D$507,"&lt;="&amp;D478,$B$8:$B$507)/SUM($B$8:$B$507))</f>
        <v/>
      </c>
    </row>
    <row r="479">
      <c r="A479" s="9" t="n"/>
      <c r="B479" s="9" t="n"/>
      <c r="C479" s="10" t="n"/>
      <c r="D479" s="11">
        <f>IF(B479="","",RANK(B479,$B$8:$B$507)+COUNTIF(B$8:B479,B479)-1)</f>
        <v/>
      </c>
      <c r="E479" s="12">
        <f>IF(B479="","",B479/SUM($B$8:$B$507))</f>
        <v/>
      </c>
      <c r="F479" s="11">
        <f>IF(B479="","",IF(G479-E479&lt;$B$2,"A",IF(G479-E479&lt;$B$3,"B","C")))</f>
        <v/>
      </c>
      <c r="G479" s="12">
        <f>IF(B479="","",SUMIF($D$8:$D$507,"&lt;="&amp;D479,$B$8:$B$507)/SUM($B$8:$B$507))</f>
        <v/>
      </c>
    </row>
    <row r="480">
      <c r="A480" s="9" t="n"/>
      <c r="B480" s="9" t="n"/>
      <c r="C480" s="10" t="n"/>
      <c r="D480" s="11">
        <f>IF(B480="","",RANK(B480,$B$8:$B$507)+COUNTIF(B$8:B480,B480)-1)</f>
        <v/>
      </c>
      <c r="E480" s="12">
        <f>IF(B480="","",B480/SUM($B$8:$B$507))</f>
        <v/>
      </c>
      <c r="F480" s="11">
        <f>IF(B480="","",IF(G480-E480&lt;$B$2,"A",IF(G480-E480&lt;$B$3,"B","C")))</f>
        <v/>
      </c>
      <c r="G480" s="12">
        <f>IF(B480="","",SUMIF($D$8:$D$507,"&lt;="&amp;D480,$B$8:$B$507)/SUM($B$8:$B$507))</f>
        <v/>
      </c>
    </row>
    <row r="481">
      <c r="A481" s="9" t="n"/>
      <c r="B481" s="9" t="n"/>
      <c r="C481" s="10" t="n"/>
      <c r="D481" s="11">
        <f>IF(B481="","",RANK(B481,$B$8:$B$507)+COUNTIF(B$8:B481,B481)-1)</f>
        <v/>
      </c>
      <c r="E481" s="12">
        <f>IF(B481="","",B481/SUM($B$8:$B$507))</f>
        <v/>
      </c>
      <c r="F481" s="11">
        <f>IF(B481="","",IF(G481-E481&lt;$B$2,"A",IF(G481-E481&lt;$B$3,"B","C")))</f>
        <v/>
      </c>
      <c r="G481" s="12">
        <f>IF(B481="","",SUMIF($D$8:$D$507,"&lt;="&amp;D481,$B$8:$B$507)/SUM($B$8:$B$507))</f>
        <v/>
      </c>
    </row>
    <row r="482">
      <c r="A482" s="9" t="n"/>
      <c r="B482" s="9" t="n"/>
      <c r="C482" s="10" t="n"/>
      <c r="D482" s="11">
        <f>IF(B482="","",RANK(B482,$B$8:$B$507)+COUNTIF(B$8:B482,B482)-1)</f>
        <v/>
      </c>
      <c r="E482" s="12">
        <f>IF(B482="","",B482/SUM($B$8:$B$507))</f>
        <v/>
      </c>
      <c r="F482" s="11">
        <f>IF(B482="","",IF(G482-E482&lt;$B$2,"A",IF(G482-E482&lt;$B$3,"B","C")))</f>
        <v/>
      </c>
      <c r="G482" s="12">
        <f>IF(B482="","",SUMIF($D$8:$D$507,"&lt;="&amp;D482,$B$8:$B$507)/SUM($B$8:$B$507))</f>
        <v/>
      </c>
    </row>
    <row r="483">
      <c r="A483" s="9" t="n"/>
      <c r="B483" s="9" t="n"/>
      <c r="C483" s="10" t="n"/>
      <c r="D483" s="11">
        <f>IF(B483="","",RANK(B483,$B$8:$B$507)+COUNTIF(B$8:B483,B483)-1)</f>
        <v/>
      </c>
      <c r="E483" s="12">
        <f>IF(B483="","",B483/SUM($B$8:$B$507))</f>
        <v/>
      </c>
      <c r="F483" s="11">
        <f>IF(B483="","",IF(G483-E483&lt;$B$2,"A",IF(G483-E483&lt;$B$3,"B","C")))</f>
        <v/>
      </c>
      <c r="G483" s="12">
        <f>IF(B483="","",SUMIF($D$8:$D$507,"&lt;="&amp;D483,$B$8:$B$507)/SUM($B$8:$B$507))</f>
        <v/>
      </c>
    </row>
    <row r="484">
      <c r="A484" s="9" t="n"/>
      <c r="B484" s="9" t="n"/>
      <c r="C484" s="10" t="n"/>
      <c r="D484" s="11">
        <f>IF(B484="","",RANK(B484,$B$8:$B$507)+COUNTIF(B$8:B484,B484)-1)</f>
        <v/>
      </c>
      <c r="E484" s="12">
        <f>IF(B484="","",B484/SUM($B$8:$B$507))</f>
        <v/>
      </c>
      <c r="F484" s="11">
        <f>IF(B484="","",IF(G484-E484&lt;$B$2,"A",IF(G484-E484&lt;$B$3,"B","C")))</f>
        <v/>
      </c>
      <c r="G484" s="12">
        <f>IF(B484="","",SUMIF($D$8:$D$507,"&lt;="&amp;D484,$B$8:$B$507)/SUM($B$8:$B$507))</f>
        <v/>
      </c>
    </row>
    <row r="485">
      <c r="A485" s="9" t="n"/>
      <c r="B485" s="9" t="n"/>
      <c r="C485" s="10" t="n"/>
      <c r="D485" s="11">
        <f>IF(B485="","",RANK(B485,$B$8:$B$507)+COUNTIF(B$8:B485,B485)-1)</f>
        <v/>
      </c>
      <c r="E485" s="12">
        <f>IF(B485="","",B485/SUM($B$8:$B$507))</f>
        <v/>
      </c>
      <c r="F485" s="11">
        <f>IF(B485="","",IF(G485-E485&lt;$B$2,"A",IF(G485-E485&lt;$B$3,"B","C")))</f>
        <v/>
      </c>
      <c r="G485" s="12">
        <f>IF(B485="","",SUMIF($D$8:$D$507,"&lt;="&amp;D485,$B$8:$B$507)/SUM($B$8:$B$507))</f>
        <v/>
      </c>
    </row>
    <row r="486">
      <c r="A486" s="9" t="n"/>
      <c r="B486" s="9" t="n"/>
      <c r="C486" s="10" t="n"/>
      <c r="D486" s="11">
        <f>IF(B486="","",RANK(B486,$B$8:$B$507)+COUNTIF(B$8:B486,B486)-1)</f>
        <v/>
      </c>
      <c r="E486" s="12">
        <f>IF(B486="","",B486/SUM($B$8:$B$507))</f>
        <v/>
      </c>
      <c r="F486" s="11">
        <f>IF(B486="","",IF(G486-E486&lt;$B$2,"A",IF(G486-E486&lt;$B$3,"B","C")))</f>
        <v/>
      </c>
      <c r="G486" s="12">
        <f>IF(B486="","",SUMIF($D$8:$D$507,"&lt;="&amp;D486,$B$8:$B$507)/SUM($B$8:$B$507))</f>
        <v/>
      </c>
    </row>
    <row r="487">
      <c r="A487" s="9" t="n"/>
      <c r="B487" s="9" t="n"/>
      <c r="C487" s="10" t="n"/>
      <c r="D487" s="11">
        <f>IF(B487="","",RANK(B487,$B$8:$B$507)+COUNTIF(B$8:B487,B487)-1)</f>
        <v/>
      </c>
      <c r="E487" s="12">
        <f>IF(B487="","",B487/SUM($B$8:$B$507))</f>
        <v/>
      </c>
      <c r="F487" s="11">
        <f>IF(B487="","",IF(G487-E487&lt;$B$2,"A",IF(G487-E487&lt;$B$3,"B","C")))</f>
        <v/>
      </c>
      <c r="G487" s="12">
        <f>IF(B487="","",SUMIF($D$8:$D$507,"&lt;="&amp;D487,$B$8:$B$507)/SUM($B$8:$B$507))</f>
        <v/>
      </c>
    </row>
    <row r="488">
      <c r="A488" s="9" t="n"/>
      <c r="B488" s="9" t="n"/>
      <c r="C488" s="10" t="n"/>
      <c r="D488" s="11">
        <f>IF(B488="","",RANK(B488,$B$8:$B$507)+COUNTIF(B$8:B488,B488)-1)</f>
        <v/>
      </c>
      <c r="E488" s="12">
        <f>IF(B488="","",B488/SUM($B$8:$B$507))</f>
        <v/>
      </c>
      <c r="F488" s="11">
        <f>IF(B488="","",IF(G488-E488&lt;$B$2,"A",IF(G488-E488&lt;$B$3,"B","C")))</f>
        <v/>
      </c>
      <c r="G488" s="12">
        <f>IF(B488="","",SUMIF($D$8:$D$507,"&lt;="&amp;D488,$B$8:$B$507)/SUM($B$8:$B$507))</f>
        <v/>
      </c>
    </row>
    <row r="489">
      <c r="A489" s="9" t="n"/>
      <c r="B489" s="9" t="n"/>
      <c r="C489" s="10" t="n"/>
      <c r="D489" s="11">
        <f>IF(B489="","",RANK(B489,$B$8:$B$507)+COUNTIF(B$8:B489,B489)-1)</f>
        <v/>
      </c>
      <c r="E489" s="12">
        <f>IF(B489="","",B489/SUM($B$8:$B$507))</f>
        <v/>
      </c>
      <c r="F489" s="11">
        <f>IF(B489="","",IF(G489-E489&lt;$B$2,"A",IF(G489-E489&lt;$B$3,"B","C")))</f>
        <v/>
      </c>
      <c r="G489" s="12">
        <f>IF(B489="","",SUMIF($D$8:$D$507,"&lt;="&amp;D489,$B$8:$B$507)/SUM($B$8:$B$507))</f>
        <v/>
      </c>
    </row>
    <row r="490">
      <c r="A490" s="9" t="n"/>
      <c r="B490" s="9" t="n"/>
      <c r="C490" s="10" t="n"/>
      <c r="D490" s="11">
        <f>IF(B490="","",RANK(B490,$B$8:$B$507)+COUNTIF(B$8:B490,B490)-1)</f>
        <v/>
      </c>
      <c r="E490" s="12">
        <f>IF(B490="","",B490/SUM($B$8:$B$507))</f>
        <v/>
      </c>
      <c r="F490" s="11">
        <f>IF(B490="","",IF(G490-E490&lt;$B$2,"A",IF(G490-E490&lt;$B$3,"B","C")))</f>
        <v/>
      </c>
      <c r="G490" s="12">
        <f>IF(B490="","",SUMIF($D$8:$D$507,"&lt;="&amp;D490,$B$8:$B$507)/SUM($B$8:$B$507))</f>
        <v/>
      </c>
    </row>
    <row r="491">
      <c r="A491" s="9" t="n"/>
      <c r="B491" s="9" t="n"/>
      <c r="C491" s="10" t="n"/>
      <c r="D491" s="11">
        <f>IF(B491="","",RANK(B491,$B$8:$B$507)+COUNTIF(B$8:B491,B491)-1)</f>
        <v/>
      </c>
      <c r="E491" s="12">
        <f>IF(B491="","",B491/SUM($B$8:$B$507))</f>
        <v/>
      </c>
      <c r="F491" s="11">
        <f>IF(B491="","",IF(G491-E491&lt;$B$2,"A",IF(G491-E491&lt;$B$3,"B","C")))</f>
        <v/>
      </c>
      <c r="G491" s="12">
        <f>IF(B491="","",SUMIF($D$8:$D$507,"&lt;="&amp;D491,$B$8:$B$507)/SUM($B$8:$B$507))</f>
        <v/>
      </c>
    </row>
    <row r="492">
      <c r="A492" s="9" t="n"/>
      <c r="B492" s="9" t="n"/>
      <c r="C492" s="10" t="n"/>
      <c r="D492" s="11">
        <f>IF(B492="","",RANK(B492,$B$8:$B$507)+COUNTIF(B$8:B492,B492)-1)</f>
        <v/>
      </c>
      <c r="E492" s="12">
        <f>IF(B492="","",B492/SUM($B$8:$B$507))</f>
        <v/>
      </c>
      <c r="F492" s="11">
        <f>IF(B492="","",IF(G492-E492&lt;$B$2,"A",IF(G492-E492&lt;$B$3,"B","C")))</f>
        <v/>
      </c>
      <c r="G492" s="12">
        <f>IF(B492="","",SUMIF($D$8:$D$507,"&lt;="&amp;D492,$B$8:$B$507)/SUM($B$8:$B$507))</f>
        <v/>
      </c>
    </row>
    <row r="493">
      <c r="A493" s="9" t="n"/>
      <c r="B493" s="9" t="n"/>
      <c r="C493" s="10" t="n"/>
      <c r="D493" s="11">
        <f>IF(B493="","",RANK(B493,$B$8:$B$507)+COUNTIF(B$8:B493,B493)-1)</f>
        <v/>
      </c>
      <c r="E493" s="12">
        <f>IF(B493="","",B493/SUM($B$8:$B$507))</f>
        <v/>
      </c>
      <c r="F493" s="11">
        <f>IF(B493="","",IF(G493-E493&lt;$B$2,"A",IF(G493-E493&lt;$B$3,"B","C")))</f>
        <v/>
      </c>
      <c r="G493" s="12">
        <f>IF(B493="","",SUMIF($D$8:$D$507,"&lt;="&amp;D493,$B$8:$B$507)/SUM($B$8:$B$507))</f>
        <v/>
      </c>
    </row>
    <row r="494">
      <c r="A494" s="9" t="n"/>
      <c r="B494" s="9" t="n"/>
      <c r="C494" s="10" t="n"/>
      <c r="D494" s="11">
        <f>IF(B494="","",RANK(B494,$B$8:$B$507)+COUNTIF(B$8:B494,B494)-1)</f>
        <v/>
      </c>
      <c r="E494" s="12">
        <f>IF(B494="","",B494/SUM($B$8:$B$507))</f>
        <v/>
      </c>
      <c r="F494" s="11">
        <f>IF(B494="","",IF(G494-E494&lt;$B$2,"A",IF(G494-E494&lt;$B$3,"B","C")))</f>
        <v/>
      </c>
      <c r="G494" s="12">
        <f>IF(B494="","",SUMIF($D$8:$D$507,"&lt;="&amp;D494,$B$8:$B$507)/SUM($B$8:$B$507))</f>
        <v/>
      </c>
    </row>
    <row r="495">
      <c r="A495" s="9" t="n"/>
      <c r="B495" s="9" t="n"/>
      <c r="C495" s="10" t="n"/>
      <c r="D495" s="11">
        <f>IF(B495="","",RANK(B495,$B$8:$B$507)+COUNTIF(B$8:B495,B495)-1)</f>
        <v/>
      </c>
      <c r="E495" s="12">
        <f>IF(B495="","",B495/SUM($B$8:$B$507))</f>
        <v/>
      </c>
      <c r="F495" s="11">
        <f>IF(B495="","",IF(G495-E495&lt;$B$2,"A",IF(G495-E495&lt;$B$3,"B","C")))</f>
        <v/>
      </c>
      <c r="G495" s="12">
        <f>IF(B495="","",SUMIF($D$8:$D$507,"&lt;="&amp;D495,$B$8:$B$507)/SUM($B$8:$B$507))</f>
        <v/>
      </c>
    </row>
    <row r="496">
      <c r="A496" s="9" t="n"/>
      <c r="B496" s="9" t="n"/>
      <c r="C496" s="10" t="n"/>
      <c r="D496" s="11">
        <f>IF(B496="","",RANK(B496,$B$8:$B$507)+COUNTIF(B$8:B496,B496)-1)</f>
        <v/>
      </c>
      <c r="E496" s="12">
        <f>IF(B496="","",B496/SUM($B$8:$B$507))</f>
        <v/>
      </c>
      <c r="F496" s="11">
        <f>IF(B496="","",IF(G496-E496&lt;$B$2,"A",IF(G496-E496&lt;$B$3,"B","C")))</f>
        <v/>
      </c>
      <c r="G496" s="12">
        <f>IF(B496="","",SUMIF($D$8:$D$507,"&lt;="&amp;D496,$B$8:$B$507)/SUM($B$8:$B$507))</f>
        <v/>
      </c>
    </row>
    <row r="497">
      <c r="A497" s="9" t="n"/>
      <c r="B497" s="9" t="n"/>
      <c r="C497" s="10" t="n"/>
      <c r="D497" s="11">
        <f>IF(B497="","",RANK(B497,$B$8:$B$507)+COUNTIF(B$8:B497,B497)-1)</f>
        <v/>
      </c>
      <c r="E497" s="12">
        <f>IF(B497="","",B497/SUM($B$8:$B$507))</f>
        <v/>
      </c>
      <c r="F497" s="11">
        <f>IF(B497="","",IF(G497-E497&lt;$B$2,"A",IF(G497-E497&lt;$B$3,"B","C")))</f>
        <v/>
      </c>
      <c r="G497" s="12">
        <f>IF(B497="","",SUMIF($D$8:$D$507,"&lt;="&amp;D497,$B$8:$B$507)/SUM($B$8:$B$507))</f>
        <v/>
      </c>
    </row>
    <row r="498">
      <c r="A498" s="9" t="n"/>
      <c r="B498" s="9" t="n"/>
      <c r="C498" s="10" t="n"/>
      <c r="D498" s="11">
        <f>IF(B498="","",RANK(B498,$B$8:$B$507)+COUNTIF(B$8:B498,B498)-1)</f>
        <v/>
      </c>
      <c r="E498" s="12">
        <f>IF(B498="","",B498/SUM($B$8:$B$507))</f>
        <v/>
      </c>
      <c r="F498" s="11">
        <f>IF(B498="","",IF(G498-E498&lt;$B$2,"A",IF(G498-E498&lt;$B$3,"B","C")))</f>
        <v/>
      </c>
      <c r="G498" s="12">
        <f>IF(B498="","",SUMIF($D$8:$D$507,"&lt;="&amp;D498,$B$8:$B$507)/SUM($B$8:$B$507))</f>
        <v/>
      </c>
    </row>
    <row r="499">
      <c r="A499" s="9" t="n"/>
      <c r="B499" s="9" t="n"/>
      <c r="C499" s="10" t="n"/>
      <c r="D499" s="11">
        <f>IF(B499="","",RANK(B499,$B$8:$B$507)+COUNTIF(B$8:B499,B499)-1)</f>
        <v/>
      </c>
      <c r="E499" s="12">
        <f>IF(B499="","",B499/SUM($B$8:$B$507))</f>
        <v/>
      </c>
      <c r="F499" s="11">
        <f>IF(B499="","",IF(G499-E499&lt;$B$2,"A",IF(G499-E499&lt;$B$3,"B","C")))</f>
        <v/>
      </c>
      <c r="G499" s="12">
        <f>IF(B499="","",SUMIF($D$8:$D$507,"&lt;="&amp;D499,$B$8:$B$507)/SUM($B$8:$B$507))</f>
        <v/>
      </c>
    </row>
    <row r="500">
      <c r="A500" s="9" t="n"/>
      <c r="B500" s="9" t="n"/>
      <c r="C500" s="10" t="n"/>
      <c r="D500" s="11">
        <f>IF(B500="","",RANK(B500,$B$8:$B$507)+COUNTIF(B$8:B500,B500)-1)</f>
        <v/>
      </c>
      <c r="E500" s="12">
        <f>IF(B500="","",B500/SUM($B$8:$B$507))</f>
        <v/>
      </c>
      <c r="F500" s="11">
        <f>IF(B500="","",IF(G500-E500&lt;$B$2,"A",IF(G500-E500&lt;$B$3,"B","C")))</f>
        <v/>
      </c>
      <c r="G500" s="12">
        <f>IF(B500="","",SUMIF($D$8:$D$507,"&lt;="&amp;D500,$B$8:$B$507)/SUM($B$8:$B$507))</f>
        <v/>
      </c>
    </row>
    <row r="501">
      <c r="A501" s="9" t="n"/>
      <c r="B501" s="9" t="n"/>
      <c r="C501" s="10" t="n"/>
      <c r="D501" s="11">
        <f>IF(B501="","",RANK(B501,$B$8:$B$507)+COUNTIF(B$8:B501,B501)-1)</f>
        <v/>
      </c>
      <c r="E501" s="12">
        <f>IF(B501="","",B501/SUM($B$8:$B$507))</f>
        <v/>
      </c>
      <c r="F501" s="11">
        <f>IF(B501="","",IF(G501-E501&lt;$B$2,"A",IF(G501-E501&lt;$B$3,"B","C")))</f>
        <v/>
      </c>
      <c r="G501" s="12">
        <f>IF(B501="","",SUMIF($D$8:$D$507,"&lt;="&amp;D501,$B$8:$B$507)/SUM($B$8:$B$507))</f>
        <v/>
      </c>
    </row>
    <row r="502">
      <c r="A502" s="9" t="n"/>
      <c r="B502" s="9" t="n"/>
      <c r="C502" s="10" t="n"/>
      <c r="D502" s="11">
        <f>IF(B502="","",RANK(B502,$B$8:$B$507)+COUNTIF(B$8:B502,B502)-1)</f>
        <v/>
      </c>
      <c r="E502" s="12">
        <f>IF(B502="","",B502/SUM($B$8:$B$507))</f>
        <v/>
      </c>
      <c r="F502" s="11">
        <f>IF(B502="","",IF(G502-E502&lt;$B$2,"A",IF(G502-E502&lt;$B$3,"B","C")))</f>
        <v/>
      </c>
      <c r="G502" s="12">
        <f>IF(B502="","",SUMIF($D$8:$D$507,"&lt;="&amp;D502,$B$8:$B$507)/SUM($B$8:$B$507))</f>
        <v/>
      </c>
    </row>
    <row r="503">
      <c r="A503" s="9" t="n"/>
      <c r="B503" s="9" t="n"/>
      <c r="C503" s="10" t="n"/>
      <c r="D503" s="11">
        <f>IF(B503="","",RANK(B503,$B$8:$B$507)+COUNTIF(B$8:B503,B503)-1)</f>
        <v/>
      </c>
      <c r="E503" s="12">
        <f>IF(B503="","",B503/SUM($B$8:$B$507))</f>
        <v/>
      </c>
      <c r="F503" s="11">
        <f>IF(B503="","",IF(G503-E503&lt;$B$2,"A",IF(G503-E503&lt;$B$3,"B","C")))</f>
        <v/>
      </c>
      <c r="G503" s="12">
        <f>IF(B503="","",SUMIF($D$8:$D$507,"&lt;="&amp;D503,$B$8:$B$507)/SUM($B$8:$B$507))</f>
        <v/>
      </c>
    </row>
    <row r="504">
      <c r="A504" s="9" t="n"/>
      <c r="B504" s="9" t="n"/>
      <c r="C504" s="10" t="n"/>
      <c r="D504" s="11">
        <f>IF(B504="","",RANK(B504,$B$8:$B$507)+COUNTIF(B$8:B504,B504)-1)</f>
        <v/>
      </c>
      <c r="E504" s="12">
        <f>IF(B504="","",B504/SUM($B$8:$B$507))</f>
        <v/>
      </c>
      <c r="F504" s="11">
        <f>IF(B504="","",IF(G504-E504&lt;$B$2,"A",IF(G504-E504&lt;$B$3,"B","C")))</f>
        <v/>
      </c>
      <c r="G504" s="12">
        <f>IF(B504="","",SUMIF($D$8:$D$507,"&lt;="&amp;D504,$B$8:$B$507)/SUM($B$8:$B$507))</f>
        <v/>
      </c>
    </row>
    <row r="505">
      <c r="A505" s="9" t="n"/>
      <c r="B505" s="9" t="n"/>
      <c r="C505" s="10" t="n"/>
      <c r="D505" s="11">
        <f>IF(B505="","",RANK(B505,$B$8:$B$507)+COUNTIF(B$8:B505,B505)-1)</f>
        <v/>
      </c>
      <c r="E505" s="12">
        <f>IF(B505="","",B505/SUM($B$8:$B$507))</f>
        <v/>
      </c>
      <c r="F505" s="11">
        <f>IF(B505="","",IF(G505-E505&lt;$B$2,"A",IF(G505-E505&lt;$B$3,"B","C")))</f>
        <v/>
      </c>
      <c r="G505" s="12">
        <f>IF(B505="","",SUMIF($D$8:$D$507,"&lt;="&amp;D505,$B$8:$B$507)/SUM($B$8:$B$507))</f>
        <v/>
      </c>
    </row>
    <row r="506">
      <c r="A506" s="9" t="n"/>
      <c r="B506" s="9" t="n"/>
      <c r="C506" s="10" t="n"/>
      <c r="D506" s="11">
        <f>IF(B506="","",RANK(B506,$B$8:$B$507)+COUNTIF(B$8:B506,B506)-1)</f>
        <v/>
      </c>
      <c r="E506" s="12">
        <f>IF(B506="","",B506/SUM($B$8:$B$507))</f>
        <v/>
      </c>
      <c r="F506" s="11">
        <f>IF(B506="","",IF(G506-E506&lt;$B$2,"A",IF(G506-E506&lt;$B$3,"B","C")))</f>
        <v/>
      </c>
      <c r="G506" s="12">
        <f>IF(B506="","",SUMIF($D$8:$D$507,"&lt;="&amp;D506,$B$8:$B$507)/SUM($B$8:$B$507))</f>
        <v/>
      </c>
    </row>
    <row r="507">
      <c r="A507" s="9" t="n"/>
      <c r="B507" s="9" t="n"/>
      <c r="C507" s="10" t="n"/>
      <c r="D507" s="11">
        <f>IF(B507="","",RANK(B507,$B$8:$B$507)+COUNTIF(B$8:B507,B507)-1)</f>
        <v/>
      </c>
      <c r="E507" s="12">
        <f>IF(B507="","",B507/SUM($B$8:$B$507))</f>
        <v/>
      </c>
      <c r="F507" s="11">
        <f>IF(B507="","",IF(G507-E507&lt;$B$2,"A",IF(G507-E507&lt;$B$3,"B","C")))</f>
        <v/>
      </c>
      <c r="G507" s="12">
        <f>IF(B507="","",SUMIF($D$8:$D$507,"&lt;="&amp;D507,$B$8:$B$507)/SUM($B$8:$B$507))</f>
        <v/>
      </c>
    </row>
  </sheetData>
  <mergeCells count="1">
    <mergeCell ref="A1:G1"/>
  </mergeCells>
  <dataValidations count="1">
    <dataValidation sqref="B2:B3" showDropDown="0" showInputMessage="0" showErrorMessage="1" allowBlank="0" error="The boundary is a share from 0 to 1, e.g. 0.8" type="decimal" errorStyle="warning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Pareto curve</t>
        </is>
      </c>
    </row>
    <row r="2">
      <c r="A2" s="5" t="inlineStr">
        <is>
          <t>Rank</t>
        </is>
      </c>
      <c r="B2" s="5" t="inlineStr">
        <is>
          <t>Share of objects</t>
        </is>
      </c>
      <c r="C2" s="5" t="inlineStr">
        <is>
          <t>Share of value</t>
        </is>
      </c>
    </row>
    <row r="3">
      <c r="A3" t="n">
        <v>0</v>
      </c>
      <c r="B3" t="n">
        <v>0</v>
      </c>
      <c r="C3" t="n">
        <v>0</v>
      </c>
    </row>
    <row r="4">
      <c r="A4" t="n">
        <v>1</v>
      </c>
      <c r="B4" s="13">
        <f>IF(COUNT(ABC!$B$8:$B$507)=0,0,MIN(A4,COUNT(ABC!$B$8:$B$507))/COUNT(ABC!$B$8:$B$507))</f>
        <v/>
      </c>
      <c r="C4" s="13">
        <f>IF(COUNT(ABC!$B$8:$B$507)=0,0,SUMIF(ABC!$D$8:$D$507,"&lt;="&amp;MIN(A4,COUNT(ABC!$B$8:$B$507)),ABC!$B$8:$B$507)/SUM(ABC!$B$8:$B$507))</f>
        <v/>
      </c>
    </row>
    <row r="5">
      <c r="A5" t="n">
        <v>2</v>
      </c>
      <c r="B5" s="13">
        <f>IF(COUNT(ABC!$B$8:$B$507)=0,0,MIN(A5,COUNT(ABC!$B$8:$B$507))/COUNT(ABC!$B$8:$B$507))</f>
        <v/>
      </c>
      <c r="C5" s="13">
        <f>IF(COUNT(ABC!$B$8:$B$507)=0,0,SUMIF(ABC!$D$8:$D$507,"&lt;="&amp;MIN(A5,COUNT(ABC!$B$8:$B$507)),ABC!$B$8:$B$507)/SUM(ABC!$B$8:$B$507))</f>
        <v/>
      </c>
    </row>
    <row r="6">
      <c r="A6" t="n">
        <v>3</v>
      </c>
      <c r="B6" s="13">
        <f>IF(COUNT(ABC!$B$8:$B$507)=0,0,MIN(A6,COUNT(ABC!$B$8:$B$507))/COUNT(ABC!$B$8:$B$507))</f>
        <v/>
      </c>
      <c r="C6" s="13">
        <f>IF(COUNT(ABC!$B$8:$B$507)=0,0,SUMIF(ABC!$D$8:$D$507,"&lt;="&amp;MIN(A6,COUNT(ABC!$B$8:$B$507)),ABC!$B$8:$B$507)/SUM(ABC!$B$8:$B$507))</f>
        <v/>
      </c>
    </row>
    <row r="7">
      <c r="A7" t="n">
        <v>4</v>
      </c>
      <c r="B7" s="13">
        <f>IF(COUNT(ABC!$B$8:$B$507)=0,0,MIN(A7,COUNT(ABC!$B$8:$B$507))/COUNT(ABC!$B$8:$B$507))</f>
        <v/>
      </c>
      <c r="C7" s="13">
        <f>IF(COUNT(ABC!$B$8:$B$507)=0,0,SUMIF(ABC!$D$8:$D$507,"&lt;="&amp;MIN(A7,COUNT(ABC!$B$8:$B$507)),ABC!$B$8:$B$507)/SUM(ABC!$B$8:$B$507))</f>
        <v/>
      </c>
    </row>
    <row r="8">
      <c r="A8" t="n">
        <v>5</v>
      </c>
      <c r="B8" s="13">
        <f>IF(COUNT(ABC!$B$8:$B$507)=0,0,MIN(A8,COUNT(ABC!$B$8:$B$507))/COUNT(ABC!$B$8:$B$507))</f>
        <v/>
      </c>
      <c r="C8" s="13">
        <f>IF(COUNT(ABC!$B$8:$B$507)=0,0,SUMIF(ABC!$D$8:$D$507,"&lt;="&amp;MIN(A8,COUNT(ABC!$B$8:$B$507)),ABC!$B$8:$B$507)/SUM(ABC!$B$8:$B$507))</f>
        <v/>
      </c>
    </row>
    <row r="9">
      <c r="A9" t="n">
        <v>6</v>
      </c>
      <c r="B9" s="13">
        <f>IF(COUNT(ABC!$B$8:$B$507)=0,0,MIN(A9,COUNT(ABC!$B$8:$B$507))/COUNT(ABC!$B$8:$B$507))</f>
        <v/>
      </c>
      <c r="C9" s="13">
        <f>IF(COUNT(ABC!$B$8:$B$507)=0,0,SUMIF(ABC!$D$8:$D$507,"&lt;="&amp;MIN(A9,COUNT(ABC!$B$8:$B$507)),ABC!$B$8:$B$507)/SUM(ABC!$B$8:$B$507))</f>
        <v/>
      </c>
    </row>
    <row r="10">
      <c r="A10" t="n">
        <v>7</v>
      </c>
      <c r="B10" s="13">
        <f>IF(COUNT(ABC!$B$8:$B$507)=0,0,MIN(A10,COUNT(ABC!$B$8:$B$507))/COUNT(ABC!$B$8:$B$507))</f>
        <v/>
      </c>
      <c r="C10" s="13">
        <f>IF(COUNT(ABC!$B$8:$B$507)=0,0,SUMIF(ABC!$D$8:$D$507,"&lt;="&amp;MIN(A10,COUNT(ABC!$B$8:$B$507)),ABC!$B$8:$B$507)/SUM(ABC!$B$8:$B$507))</f>
        <v/>
      </c>
    </row>
    <row r="11">
      <c r="A11" t="n">
        <v>8</v>
      </c>
      <c r="B11" s="13">
        <f>IF(COUNT(ABC!$B$8:$B$507)=0,0,MIN(A11,COUNT(ABC!$B$8:$B$507))/COUNT(ABC!$B$8:$B$507))</f>
        <v/>
      </c>
      <c r="C11" s="13">
        <f>IF(COUNT(ABC!$B$8:$B$507)=0,0,SUMIF(ABC!$D$8:$D$507,"&lt;="&amp;MIN(A11,COUNT(ABC!$B$8:$B$507)),ABC!$B$8:$B$507)/SUM(ABC!$B$8:$B$507))</f>
        <v/>
      </c>
    </row>
    <row r="12">
      <c r="A12" t="n">
        <v>9</v>
      </c>
      <c r="B12" s="13">
        <f>IF(COUNT(ABC!$B$8:$B$507)=0,0,MIN(A12,COUNT(ABC!$B$8:$B$507))/COUNT(ABC!$B$8:$B$507))</f>
        <v/>
      </c>
      <c r="C12" s="13">
        <f>IF(COUNT(ABC!$B$8:$B$507)=0,0,SUMIF(ABC!$D$8:$D$507,"&lt;="&amp;MIN(A12,COUNT(ABC!$B$8:$B$507)),ABC!$B$8:$B$507)/SUM(ABC!$B$8:$B$507))</f>
        <v/>
      </c>
    </row>
    <row r="13">
      <c r="A13" t="n">
        <v>10</v>
      </c>
      <c r="B13" s="13">
        <f>IF(COUNT(ABC!$B$8:$B$507)=0,0,MIN(A13,COUNT(ABC!$B$8:$B$507))/COUNT(ABC!$B$8:$B$507))</f>
        <v/>
      </c>
      <c r="C13" s="13">
        <f>IF(COUNT(ABC!$B$8:$B$507)=0,0,SUMIF(ABC!$D$8:$D$507,"&lt;="&amp;MIN(A13,COUNT(ABC!$B$8:$B$507)),ABC!$B$8:$B$507)/SUM(ABC!$B$8:$B$507))</f>
        <v/>
      </c>
    </row>
    <row r="14">
      <c r="A14" t="n">
        <v>11</v>
      </c>
      <c r="B14" s="13">
        <f>IF(COUNT(ABC!$B$8:$B$507)=0,0,MIN(A14,COUNT(ABC!$B$8:$B$507))/COUNT(ABC!$B$8:$B$507))</f>
        <v/>
      </c>
      <c r="C14" s="13">
        <f>IF(COUNT(ABC!$B$8:$B$507)=0,0,SUMIF(ABC!$D$8:$D$507,"&lt;="&amp;MIN(A14,COUNT(ABC!$B$8:$B$507)),ABC!$B$8:$B$507)/SUM(ABC!$B$8:$B$507))</f>
        <v/>
      </c>
    </row>
    <row r="15">
      <c r="A15" t="n">
        <v>12</v>
      </c>
      <c r="B15" s="13">
        <f>IF(COUNT(ABC!$B$8:$B$507)=0,0,MIN(A15,COUNT(ABC!$B$8:$B$507))/COUNT(ABC!$B$8:$B$507))</f>
        <v/>
      </c>
      <c r="C15" s="13">
        <f>IF(COUNT(ABC!$B$8:$B$507)=0,0,SUMIF(ABC!$D$8:$D$507,"&lt;="&amp;MIN(A15,COUNT(ABC!$B$8:$B$507)),ABC!$B$8:$B$507)/SUM(ABC!$B$8:$B$507))</f>
        <v/>
      </c>
    </row>
    <row r="16">
      <c r="A16" t="n">
        <v>13</v>
      </c>
      <c r="B16" s="13">
        <f>IF(COUNT(ABC!$B$8:$B$507)=0,0,MIN(A16,COUNT(ABC!$B$8:$B$507))/COUNT(ABC!$B$8:$B$507))</f>
        <v/>
      </c>
      <c r="C16" s="13">
        <f>IF(COUNT(ABC!$B$8:$B$507)=0,0,SUMIF(ABC!$D$8:$D$507,"&lt;="&amp;MIN(A16,COUNT(ABC!$B$8:$B$507)),ABC!$B$8:$B$507)/SUM(ABC!$B$8:$B$507))</f>
        <v/>
      </c>
    </row>
    <row r="17">
      <c r="A17" t="n">
        <v>14</v>
      </c>
      <c r="B17" s="13">
        <f>IF(COUNT(ABC!$B$8:$B$507)=0,0,MIN(A17,COUNT(ABC!$B$8:$B$507))/COUNT(ABC!$B$8:$B$507))</f>
        <v/>
      </c>
      <c r="C17" s="13">
        <f>IF(COUNT(ABC!$B$8:$B$507)=0,0,SUMIF(ABC!$D$8:$D$507,"&lt;="&amp;MIN(A17,COUNT(ABC!$B$8:$B$507)),ABC!$B$8:$B$507)/SUM(ABC!$B$8:$B$507))</f>
        <v/>
      </c>
    </row>
    <row r="18">
      <c r="A18" t="n">
        <v>15</v>
      </c>
      <c r="B18" s="13">
        <f>IF(COUNT(ABC!$B$8:$B$507)=0,0,MIN(A18,COUNT(ABC!$B$8:$B$507))/COUNT(ABC!$B$8:$B$507))</f>
        <v/>
      </c>
      <c r="C18" s="13">
        <f>IF(COUNT(ABC!$B$8:$B$507)=0,0,SUMIF(ABC!$D$8:$D$507,"&lt;="&amp;MIN(A18,COUNT(ABC!$B$8:$B$507)),ABC!$B$8:$B$507)/SUM(ABC!$B$8:$B$507))</f>
        <v/>
      </c>
    </row>
    <row r="19">
      <c r="A19" t="n">
        <v>16</v>
      </c>
      <c r="B19" s="13">
        <f>IF(COUNT(ABC!$B$8:$B$507)=0,0,MIN(A19,COUNT(ABC!$B$8:$B$507))/COUNT(ABC!$B$8:$B$507))</f>
        <v/>
      </c>
      <c r="C19" s="13">
        <f>IF(COUNT(ABC!$B$8:$B$507)=0,0,SUMIF(ABC!$D$8:$D$507,"&lt;="&amp;MIN(A19,COUNT(ABC!$B$8:$B$507)),ABC!$B$8:$B$507)/SUM(ABC!$B$8:$B$507))</f>
        <v/>
      </c>
    </row>
    <row r="20">
      <c r="A20" t="n">
        <v>17</v>
      </c>
      <c r="B20" s="13">
        <f>IF(COUNT(ABC!$B$8:$B$507)=0,0,MIN(A20,COUNT(ABC!$B$8:$B$507))/COUNT(ABC!$B$8:$B$507))</f>
        <v/>
      </c>
      <c r="C20" s="13">
        <f>IF(COUNT(ABC!$B$8:$B$507)=0,0,SUMIF(ABC!$D$8:$D$507,"&lt;="&amp;MIN(A20,COUNT(ABC!$B$8:$B$507)),ABC!$B$8:$B$507)/SUM(ABC!$B$8:$B$507))</f>
        <v/>
      </c>
    </row>
    <row r="21">
      <c r="A21" t="n">
        <v>18</v>
      </c>
      <c r="B21" s="13">
        <f>IF(COUNT(ABC!$B$8:$B$507)=0,0,MIN(A21,COUNT(ABC!$B$8:$B$507))/COUNT(ABC!$B$8:$B$507))</f>
        <v/>
      </c>
      <c r="C21" s="13">
        <f>IF(COUNT(ABC!$B$8:$B$507)=0,0,SUMIF(ABC!$D$8:$D$507,"&lt;="&amp;MIN(A21,COUNT(ABC!$B$8:$B$507)),ABC!$B$8:$B$507)/SUM(ABC!$B$8:$B$507))</f>
        <v/>
      </c>
    </row>
    <row r="22">
      <c r="A22" t="n">
        <v>19</v>
      </c>
      <c r="B22" s="13">
        <f>IF(COUNT(ABC!$B$8:$B$507)=0,0,MIN(A22,COUNT(ABC!$B$8:$B$507))/COUNT(ABC!$B$8:$B$507))</f>
        <v/>
      </c>
      <c r="C22" s="13">
        <f>IF(COUNT(ABC!$B$8:$B$507)=0,0,SUMIF(ABC!$D$8:$D$507,"&lt;="&amp;MIN(A22,COUNT(ABC!$B$8:$B$507)),ABC!$B$8:$B$507)/SUM(ABC!$B$8:$B$507))</f>
        <v/>
      </c>
    </row>
    <row r="23">
      <c r="A23" t="n">
        <v>20</v>
      </c>
      <c r="B23" s="13">
        <f>IF(COUNT(ABC!$B$8:$B$507)=0,0,MIN(A23,COUNT(ABC!$B$8:$B$507))/COUNT(ABC!$B$8:$B$507))</f>
        <v/>
      </c>
      <c r="C23" s="13">
        <f>IF(COUNT(ABC!$B$8:$B$507)=0,0,SUMIF(ABC!$D$8:$D$507,"&lt;="&amp;MIN(A23,COUNT(ABC!$B$8:$B$507)),ABC!$B$8:$B$507)/SUM(ABC!$B$8:$B$507))</f>
        <v/>
      </c>
    </row>
    <row r="24">
      <c r="A24" t="n">
        <v>21</v>
      </c>
      <c r="B24" s="13">
        <f>IF(COUNT(ABC!$B$8:$B$507)=0,0,MIN(A24,COUNT(ABC!$B$8:$B$507))/COUNT(ABC!$B$8:$B$507))</f>
        <v/>
      </c>
      <c r="C24" s="13">
        <f>IF(COUNT(ABC!$B$8:$B$507)=0,0,SUMIF(ABC!$D$8:$D$507,"&lt;="&amp;MIN(A24,COUNT(ABC!$B$8:$B$507)),ABC!$B$8:$B$507)/SUM(ABC!$B$8:$B$507))</f>
        <v/>
      </c>
    </row>
    <row r="25">
      <c r="A25" t="n">
        <v>22</v>
      </c>
      <c r="B25" s="13">
        <f>IF(COUNT(ABC!$B$8:$B$507)=0,0,MIN(A25,COUNT(ABC!$B$8:$B$507))/COUNT(ABC!$B$8:$B$507))</f>
        <v/>
      </c>
      <c r="C25" s="13">
        <f>IF(COUNT(ABC!$B$8:$B$507)=0,0,SUMIF(ABC!$D$8:$D$507,"&lt;="&amp;MIN(A25,COUNT(ABC!$B$8:$B$507)),ABC!$B$8:$B$507)/SUM(ABC!$B$8:$B$507))</f>
        <v/>
      </c>
    </row>
    <row r="26">
      <c r="A26" t="n">
        <v>23</v>
      </c>
      <c r="B26" s="13">
        <f>IF(COUNT(ABC!$B$8:$B$507)=0,0,MIN(A26,COUNT(ABC!$B$8:$B$507))/COUNT(ABC!$B$8:$B$507))</f>
        <v/>
      </c>
      <c r="C26" s="13">
        <f>IF(COUNT(ABC!$B$8:$B$507)=0,0,SUMIF(ABC!$D$8:$D$507,"&lt;="&amp;MIN(A26,COUNT(ABC!$B$8:$B$507)),ABC!$B$8:$B$507)/SUM(ABC!$B$8:$B$507))</f>
        <v/>
      </c>
    </row>
    <row r="27">
      <c r="A27" t="n">
        <v>24</v>
      </c>
      <c r="B27" s="13">
        <f>IF(COUNT(ABC!$B$8:$B$507)=0,0,MIN(A27,COUNT(ABC!$B$8:$B$507))/COUNT(ABC!$B$8:$B$507))</f>
        <v/>
      </c>
      <c r="C27" s="13">
        <f>IF(COUNT(ABC!$B$8:$B$507)=0,0,SUMIF(ABC!$D$8:$D$507,"&lt;="&amp;MIN(A27,COUNT(ABC!$B$8:$B$507)),ABC!$B$8:$B$507)/SUM(ABC!$B$8:$B$507))</f>
        <v/>
      </c>
    </row>
    <row r="28">
      <c r="A28" t="n">
        <v>25</v>
      </c>
      <c r="B28" s="13">
        <f>IF(COUNT(ABC!$B$8:$B$507)=0,0,MIN(A28,COUNT(ABC!$B$8:$B$507))/COUNT(ABC!$B$8:$B$507))</f>
        <v/>
      </c>
      <c r="C28" s="13">
        <f>IF(COUNT(ABC!$B$8:$B$507)=0,0,SUMIF(ABC!$D$8:$D$507,"&lt;="&amp;MIN(A28,COUNT(ABC!$B$8:$B$507)),ABC!$B$8:$B$507)/SUM(ABC!$B$8:$B$507))</f>
        <v/>
      </c>
    </row>
    <row r="29">
      <c r="A29" t="n">
        <v>26</v>
      </c>
      <c r="B29" s="13">
        <f>IF(COUNT(ABC!$B$8:$B$507)=0,0,MIN(A29,COUNT(ABC!$B$8:$B$507))/COUNT(ABC!$B$8:$B$507))</f>
        <v/>
      </c>
      <c r="C29" s="13">
        <f>IF(COUNT(ABC!$B$8:$B$507)=0,0,SUMIF(ABC!$D$8:$D$507,"&lt;="&amp;MIN(A29,COUNT(ABC!$B$8:$B$507)),ABC!$B$8:$B$507)/SUM(ABC!$B$8:$B$507))</f>
        <v/>
      </c>
    </row>
    <row r="30">
      <c r="A30" t="n">
        <v>27</v>
      </c>
      <c r="B30" s="13">
        <f>IF(COUNT(ABC!$B$8:$B$507)=0,0,MIN(A30,COUNT(ABC!$B$8:$B$507))/COUNT(ABC!$B$8:$B$507))</f>
        <v/>
      </c>
      <c r="C30" s="13">
        <f>IF(COUNT(ABC!$B$8:$B$507)=0,0,SUMIF(ABC!$D$8:$D$507,"&lt;="&amp;MIN(A30,COUNT(ABC!$B$8:$B$507)),ABC!$B$8:$B$507)/SUM(ABC!$B$8:$B$507))</f>
        <v/>
      </c>
    </row>
    <row r="31">
      <c r="A31" t="n">
        <v>28</v>
      </c>
      <c r="B31" s="13">
        <f>IF(COUNT(ABC!$B$8:$B$507)=0,0,MIN(A31,COUNT(ABC!$B$8:$B$507))/COUNT(ABC!$B$8:$B$507))</f>
        <v/>
      </c>
      <c r="C31" s="13">
        <f>IF(COUNT(ABC!$B$8:$B$507)=0,0,SUMIF(ABC!$D$8:$D$507,"&lt;="&amp;MIN(A31,COUNT(ABC!$B$8:$B$507)),ABC!$B$8:$B$507)/SUM(ABC!$B$8:$B$507))</f>
        <v/>
      </c>
    </row>
    <row r="32">
      <c r="A32" t="n">
        <v>29</v>
      </c>
      <c r="B32" s="13">
        <f>IF(COUNT(ABC!$B$8:$B$507)=0,0,MIN(A32,COUNT(ABC!$B$8:$B$507))/COUNT(ABC!$B$8:$B$507))</f>
        <v/>
      </c>
      <c r="C32" s="13">
        <f>IF(COUNT(ABC!$B$8:$B$507)=0,0,SUMIF(ABC!$D$8:$D$507,"&lt;="&amp;MIN(A32,COUNT(ABC!$B$8:$B$507)),ABC!$B$8:$B$507)/SUM(ABC!$B$8:$B$507))</f>
        <v/>
      </c>
    </row>
    <row r="33">
      <c r="A33" t="n">
        <v>30</v>
      </c>
      <c r="B33" s="13">
        <f>IF(COUNT(ABC!$B$8:$B$507)=0,0,MIN(A33,COUNT(ABC!$B$8:$B$507))/COUNT(ABC!$B$8:$B$507))</f>
        <v/>
      </c>
      <c r="C33" s="13">
        <f>IF(COUNT(ABC!$B$8:$B$507)=0,0,SUMIF(ABC!$D$8:$D$507,"&lt;="&amp;MIN(A33,COUNT(ABC!$B$8:$B$507)),ABC!$B$8:$B$507)/SUM(ABC!$B$8:$B$507))</f>
        <v/>
      </c>
    </row>
    <row r="34">
      <c r="A34" t="n">
        <v>31</v>
      </c>
      <c r="B34" s="13">
        <f>IF(COUNT(ABC!$B$8:$B$507)=0,0,MIN(A34,COUNT(ABC!$B$8:$B$507))/COUNT(ABC!$B$8:$B$507))</f>
        <v/>
      </c>
      <c r="C34" s="13">
        <f>IF(COUNT(ABC!$B$8:$B$507)=0,0,SUMIF(ABC!$D$8:$D$507,"&lt;="&amp;MIN(A34,COUNT(ABC!$B$8:$B$507)),ABC!$B$8:$B$507)/SUM(ABC!$B$8:$B$507))</f>
        <v/>
      </c>
    </row>
    <row r="35">
      <c r="A35" t="n">
        <v>32</v>
      </c>
      <c r="B35" s="13">
        <f>IF(COUNT(ABC!$B$8:$B$507)=0,0,MIN(A35,COUNT(ABC!$B$8:$B$507))/COUNT(ABC!$B$8:$B$507))</f>
        <v/>
      </c>
      <c r="C35" s="13">
        <f>IF(COUNT(ABC!$B$8:$B$507)=0,0,SUMIF(ABC!$D$8:$D$507,"&lt;="&amp;MIN(A35,COUNT(ABC!$B$8:$B$507)),ABC!$B$8:$B$507)/SUM(ABC!$B$8:$B$507))</f>
        <v/>
      </c>
    </row>
    <row r="36">
      <c r="A36" t="n">
        <v>33</v>
      </c>
      <c r="B36" s="13">
        <f>IF(COUNT(ABC!$B$8:$B$507)=0,0,MIN(A36,COUNT(ABC!$B$8:$B$507))/COUNT(ABC!$B$8:$B$507))</f>
        <v/>
      </c>
      <c r="C36" s="13">
        <f>IF(COUNT(ABC!$B$8:$B$507)=0,0,SUMIF(ABC!$D$8:$D$507,"&lt;="&amp;MIN(A36,COUNT(ABC!$B$8:$B$507)),ABC!$B$8:$B$507)/SUM(ABC!$B$8:$B$507))</f>
        <v/>
      </c>
    </row>
    <row r="37">
      <c r="A37" t="n">
        <v>34</v>
      </c>
      <c r="B37" s="13">
        <f>IF(COUNT(ABC!$B$8:$B$507)=0,0,MIN(A37,COUNT(ABC!$B$8:$B$507))/COUNT(ABC!$B$8:$B$507))</f>
        <v/>
      </c>
      <c r="C37" s="13">
        <f>IF(COUNT(ABC!$B$8:$B$507)=0,0,SUMIF(ABC!$D$8:$D$507,"&lt;="&amp;MIN(A37,COUNT(ABC!$B$8:$B$507)),ABC!$B$8:$B$507)/SUM(ABC!$B$8:$B$507))</f>
        <v/>
      </c>
    </row>
    <row r="38">
      <c r="A38" t="n">
        <v>35</v>
      </c>
      <c r="B38" s="13">
        <f>IF(COUNT(ABC!$B$8:$B$507)=0,0,MIN(A38,COUNT(ABC!$B$8:$B$507))/COUNT(ABC!$B$8:$B$507))</f>
        <v/>
      </c>
      <c r="C38" s="13">
        <f>IF(COUNT(ABC!$B$8:$B$507)=0,0,SUMIF(ABC!$D$8:$D$507,"&lt;="&amp;MIN(A38,COUNT(ABC!$B$8:$B$507)),ABC!$B$8:$B$507)/SUM(ABC!$B$8:$B$507))</f>
        <v/>
      </c>
    </row>
    <row r="39">
      <c r="A39" t="n">
        <v>36</v>
      </c>
      <c r="B39" s="13">
        <f>IF(COUNT(ABC!$B$8:$B$507)=0,0,MIN(A39,COUNT(ABC!$B$8:$B$507))/COUNT(ABC!$B$8:$B$507))</f>
        <v/>
      </c>
      <c r="C39" s="13">
        <f>IF(COUNT(ABC!$B$8:$B$507)=0,0,SUMIF(ABC!$D$8:$D$507,"&lt;="&amp;MIN(A39,COUNT(ABC!$B$8:$B$507)),ABC!$B$8:$B$507)/SUM(ABC!$B$8:$B$507))</f>
        <v/>
      </c>
    </row>
    <row r="40">
      <c r="A40" t="n">
        <v>37</v>
      </c>
      <c r="B40" s="13">
        <f>IF(COUNT(ABC!$B$8:$B$507)=0,0,MIN(A40,COUNT(ABC!$B$8:$B$507))/COUNT(ABC!$B$8:$B$507))</f>
        <v/>
      </c>
      <c r="C40" s="13">
        <f>IF(COUNT(ABC!$B$8:$B$507)=0,0,SUMIF(ABC!$D$8:$D$507,"&lt;="&amp;MIN(A40,COUNT(ABC!$B$8:$B$507)),ABC!$B$8:$B$507)/SUM(ABC!$B$8:$B$507))</f>
        <v/>
      </c>
    </row>
    <row r="41">
      <c r="A41" t="n">
        <v>38</v>
      </c>
      <c r="B41" s="13">
        <f>IF(COUNT(ABC!$B$8:$B$507)=0,0,MIN(A41,COUNT(ABC!$B$8:$B$507))/COUNT(ABC!$B$8:$B$507))</f>
        <v/>
      </c>
      <c r="C41" s="13">
        <f>IF(COUNT(ABC!$B$8:$B$507)=0,0,SUMIF(ABC!$D$8:$D$507,"&lt;="&amp;MIN(A41,COUNT(ABC!$B$8:$B$507)),ABC!$B$8:$B$507)/SUM(ABC!$B$8:$B$507))</f>
        <v/>
      </c>
    </row>
    <row r="42">
      <c r="A42" t="n">
        <v>39</v>
      </c>
      <c r="B42" s="13">
        <f>IF(COUNT(ABC!$B$8:$B$507)=0,0,MIN(A42,COUNT(ABC!$B$8:$B$507))/COUNT(ABC!$B$8:$B$507))</f>
        <v/>
      </c>
      <c r="C42" s="13">
        <f>IF(COUNT(ABC!$B$8:$B$507)=0,0,SUMIF(ABC!$D$8:$D$507,"&lt;="&amp;MIN(A42,COUNT(ABC!$B$8:$B$507)),ABC!$B$8:$B$507)/SUM(ABC!$B$8:$B$507))</f>
        <v/>
      </c>
    </row>
    <row r="43">
      <c r="A43" t="n">
        <v>40</v>
      </c>
      <c r="B43" s="13">
        <f>IF(COUNT(ABC!$B$8:$B$507)=0,0,MIN(A43,COUNT(ABC!$B$8:$B$507))/COUNT(ABC!$B$8:$B$507))</f>
        <v/>
      </c>
      <c r="C43" s="13">
        <f>IF(COUNT(ABC!$B$8:$B$507)=0,0,SUMIF(ABC!$D$8:$D$507,"&lt;="&amp;MIN(A43,COUNT(ABC!$B$8:$B$507)),ABC!$B$8:$B$507)/SUM(ABC!$B$8:$B$507))</f>
        <v/>
      </c>
    </row>
    <row r="44">
      <c r="A44" t="n">
        <v>41</v>
      </c>
      <c r="B44" s="13">
        <f>IF(COUNT(ABC!$B$8:$B$507)=0,0,MIN(A44,COUNT(ABC!$B$8:$B$507))/COUNT(ABC!$B$8:$B$507))</f>
        <v/>
      </c>
      <c r="C44" s="13">
        <f>IF(COUNT(ABC!$B$8:$B$507)=0,0,SUMIF(ABC!$D$8:$D$507,"&lt;="&amp;MIN(A44,COUNT(ABC!$B$8:$B$507)),ABC!$B$8:$B$507)/SUM(ABC!$B$8:$B$507))</f>
        <v/>
      </c>
    </row>
    <row r="45">
      <c r="A45" t="n">
        <v>42</v>
      </c>
      <c r="B45" s="13">
        <f>IF(COUNT(ABC!$B$8:$B$507)=0,0,MIN(A45,COUNT(ABC!$B$8:$B$507))/COUNT(ABC!$B$8:$B$507))</f>
        <v/>
      </c>
      <c r="C45" s="13">
        <f>IF(COUNT(ABC!$B$8:$B$507)=0,0,SUMIF(ABC!$D$8:$D$507,"&lt;="&amp;MIN(A45,COUNT(ABC!$B$8:$B$507)),ABC!$B$8:$B$507)/SUM(ABC!$B$8:$B$507))</f>
        <v/>
      </c>
    </row>
    <row r="46">
      <c r="A46" t="n">
        <v>43</v>
      </c>
      <c r="B46" s="13">
        <f>IF(COUNT(ABC!$B$8:$B$507)=0,0,MIN(A46,COUNT(ABC!$B$8:$B$507))/COUNT(ABC!$B$8:$B$507))</f>
        <v/>
      </c>
      <c r="C46" s="13">
        <f>IF(COUNT(ABC!$B$8:$B$507)=0,0,SUMIF(ABC!$D$8:$D$507,"&lt;="&amp;MIN(A46,COUNT(ABC!$B$8:$B$507)),ABC!$B$8:$B$507)/SUM(ABC!$B$8:$B$507))</f>
        <v/>
      </c>
    </row>
    <row r="47">
      <c r="A47" t="n">
        <v>44</v>
      </c>
      <c r="B47" s="13">
        <f>IF(COUNT(ABC!$B$8:$B$507)=0,0,MIN(A47,COUNT(ABC!$B$8:$B$507))/COUNT(ABC!$B$8:$B$507))</f>
        <v/>
      </c>
      <c r="C47" s="13">
        <f>IF(COUNT(ABC!$B$8:$B$507)=0,0,SUMIF(ABC!$D$8:$D$507,"&lt;="&amp;MIN(A47,COUNT(ABC!$B$8:$B$507)),ABC!$B$8:$B$507)/SUM(ABC!$B$8:$B$507))</f>
        <v/>
      </c>
    </row>
    <row r="48">
      <c r="A48" t="n">
        <v>45</v>
      </c>
      <c r="B48" s="13">
        <f>IF(COUNT(ABC!$B$8:$B$507)=0,0,MIN(A48,COUNT(ABC!$B$8:$B$507))/COUNT(ABC!$B$8:$B$507))</f>
        <v/>
      </c>
      <c r="C48" s="13">
        <f>IF(COUNT(ABC!$B$8:$B$507)=0,0,SUMIF(ABC!$D$8:$D$507,"&lt;="&amp;MIN(A48,COUNT(ABC!$B$8:$B$507)),ABC!$B$8:$B$507)/SUM(ABC!$B$8:$B$507))</f>
        <v/>
      </c>
    </row>
    <row r="49">
      <c r="A49" t="n">
        <v>46</v>
      </c>
      <c r="B49" s="13">
        <f>IF(COUNT(ABC!$B$8:$B$507)=0,0,MIN(A49,COUNT(ABC!$B$8:$B$507))/COUNT(ABC!$B$8:$B$507))</f>
        <v/>
      </c>
      <c r="C49" s="13">
        <f>IF(COUNT(ABC!$B$8:$B$507)=0,0,SUMIF(ABC!$D$8:$D$507,"&lt;="&amp;MIN(A49,COUNT(ABC!$B$8:$B$507)),ABC!$B$8:$B$507)/SUM(ABC!$B$8:$B$507))</f>
        <v/>
      </c>
    </row>
    <row r="50">
      <c r="A50" t="n">
        <v>47</v>
      </c>
      <c r="B50" s="13">
        <f>IF(COUNT(ABC!$B$8:$B$507)=0,0,MIN(A50,COUNT(ABC!$B$8:$B$507))/COUNT(ABC!$B$8:$B$507))</f>
        <v/>
      </c>
      <c r="C50" s="13">
        <f>IF(COUNT(ABC!$B$8:$B$507)=0,0,SUMIF(ABC!$D$8:$D$507,"&lt;="&amp;MIN(A50,COUNT(ABC!$B$8:$B$507)),ABC!$B$8:$B$507)/SUM(ABC!$B$8:$B$507))</f>
        <v/>
      </c>
    </row>
    <row r="51">
      <c r="A51" t="n">
        <v>48</v>
      </c>
      <c r="B51" s="13">
        <f>IF(COUNT(ABC!$B$8:$B$507)=0,0,MIN(A51,COUNT(ABC!$B$8:$B$507))/COUNT(ABC!$B$8:$B$507))</f>
        <v/>
      </c>
      <c r="C51" s="13">
        <f>IF(COUNT(ABC!$B$8:$B$507)=0,0,SUMIF(ABC!$D$8:$D$507,"&lt;="&amp;MIN(A51,COUNT(ABC!$B$8:$B$507)),ABC!$B$8:$B$507)/SUM(ABC!$B$8:$B$507))</f>
        <v/>
      </c>
    </row>
    <row r="52">
      <c r="A52" t="n">
        <v>49</v>
      </c>
      <c r="B52" s="13">
        <f>IF(COUNT(ABC!$B$8:$B$507)=0,0,MIN(A52,COUNT(ABC!$B$8:$B$507))/COUNT(ABC!$B$8:$B$507))</f>
        <v/>
      </c>
      <c r="C52" s="13">
        <f>IF(COUNT(ABC!$B$8:$B$507)=0,0,SUMIF(ABC!$D$8:$D$507,"&lt;="&amp;MIN(A52,COUNT(ABC!$B$8:$B$507)),ABC!$B$8:$B$507)/SUM(ABC!$B$8:$B$507))</f>
        <v/>
      </c>
    </row>
    <row r="53">
      <c r="A53" t="n">
        <v>50</v>
      </c>
      <c r="B53" s="13">
        <f>IF(COUNT(ABC!$B$8:$B$507)=0,0,MIN(A53,COUNT(ABC!$B$8:$B$507))/COUNT(ABC!$B$8:$B$507))</f>
        <v/>
      </c>
      <c r="C53" s="13">
        <f>IF(COUNT(ABC!$B$8:$B$507)=0,0,SUMIF(ABC!$D$8:$D$507,"&lt;="&amp;MIN(A53,COUNT(ABC!$B$8:$B$507)),ABC!$B$8:$B$507)/SUM(ABC!$B$8:$B$507))</f>
        <v/>
      </c>
    </row>
    <row r="54">
      <c r="A54" t="n">
        <v>51</v>
      </c>
      <c r="B54" s="13">
        <f>IF(COUNT(ABC!$B$8:$B$507)=0,0,MIN(A54,COUNT(ABC!$B$8:$B$507))/COUNT(ABC!$B$8:$B$507))</f>
        <v/>
      </c>
      <c r="C54" s="13">
        <f>IF(COUNT(ABC!$B$8:$B$507)=0,0,SUMIF(ABC!$D$8:$D$507,"&lt;="&amp;MIN(A54,COUNT(ABC!$B$8:$B$507)),ABC!$B$8:$B$507)/SUM(ABC!$B$8:$B$507))</f>
        <v/>
      </c>
    </row>
    <row r="55">
      <c r="A55" t="n">
        <v>52</v>
      </c>
      <c r="B55" s="13">
        <f>IF(COUNT(ABC!$B$8:$B$507)=0,0,MIN(A55,COUNT(ABC!$B$8:$B$507))/COUNT(ABC!$B$8:$B$507))</f>
        <v/>
      </c>
      <c r="C55" s="13">
        <f>IF(COUNT(ABC!$B$8:$B$507)=0,0,SUMIF(ABC!$D$8:$D$507,"&lt;="&amp;MIN(A55,COUNT(ABC!$B$8:$B$507)),ABC!$B$8:$B$507)/SUM(ABC!$B$8:$B$507))</f>
        <v/>
      </c>
    </row>
    <row r="56">
      <c r="A56" t="n">
        <v>53</v>
      </c>
      <c r="B56" s="13">
        <f>IF(COUNT(ABC!$B$8:$B$507)=0,0,MIN(A56,COUNT(ABC!$B$8:$B$507))/COUNT(ABC!$B$8:$B$507))</f>
        <v/>
      </c>
      <c r="C56" s="13">
        <f>IF(COUNT(ABC!$B$8:$B$507)=0,0,SUMIF(ABC!$D$8:$D$507,"&lt;="&amp;MIN(A56,COUNT(ABC!$B$8:$B$507)),ABC!$B$8:$B$507)/SUM(ABC!$B$8:$B$507))</f>
        <v/>
      </c>
    </row>
    <row r="57">
      <c r="A57" t="n">
        <v>54</v>
      </c>
      <c r="B57" s="13">
        <f>IF(COUNT(ABC!$B$8:$B$507)=0,0,MIN(A57,COUNT(ABC!$B$8:$B$507))/COUNT(ABC!$B$8:$B$507))</f>
        <v/>
      </c>
      <c r="C57" s="13">
        <f>IF(COUNT(ABC!$B$8:$B$507)=0,0,SUMIF(ABC!$D$8:$D$507,"&lt;="&amp;MIN(A57,COUNT(ABC!$B$8:$B$507)),ABC!$B$8:$B$507)/SUM(ABC!$B$8:$B$507))</f>
        <v/>
      </c>
    </row>
    <row r="58">
      <c r="A58" t="n">
        <v>55</v>
      </c>
      <c r="B58" s="13">
        <f>IF(COUNT(ABC!$B$8:$B$507)=0,0,MIN(A58,COUNT(ABC!$B$8:$B$507))/COUNT(ABC!$B$8:$B$507))</f>
        <v/>
      </c>
      <c r="C58" s="13">
        <f>IF(COUNT(ABC!$B$8:$B$507)=0,0,SUMIF(ABC!$D$8:$D$507,"&lt;="&amp;MIN(A58,COUNT(ABC!$B$8:$B$507)),ABC!$B$8:$B$507)/SUM(ABC!$B$8:$B$507))</f>
        <v/>
      </c>
    </row>
    <row r="59">
      <c r="A59" t="n">
        <v>56</v>
      </c>
      <c r="B59" s="13">
        <f>IF(COUNT(ABC!$B$8:$B$507)=0,0,MIN(A59,COUNT(ABC!$B$8:$B$507))/COUNT(ABC!$B$8:$B$507))</f>
        <v/>
      </c>
      <c r="C59" s="13">
        <f>IF(COUNT(ABC!$B$8:$B$507)=0,0,SUMIF(ABC!$D$8:$D$507,"&lt;="&amp;MIN(A59,COUNT(ABC!$B$8:$B$507)),ABC!$B$8:$B$507)/SUM(ABC!$B$8:$B$507))</f>
        <v/>
      </c>
    </row>
    <row r="60">
      <c r="A60" t="n">
        <v>57</v>
      </c>
      <c r="B60" s="13">
        <f>IF(COUNT(ABC!$B$8:$B$507)=0,0,MIN(A60,COUNT(ABC!$B$8:$B$507))/COUNT(ABC!$B$8:$B$507))</f>
        <v/>
      </c>
      <c r="C60" s="13">
        <f>IF(COUNT(ABC!$B$8:$B$507)=0,0,SUMIF(ABC!$D$8:$D$507,"&lt;="&amp;MIN(A60,COUNT(ABC!$B$8:$B$507)),ABC!$B$8:$B$507)/SUM(ABC!$B$8:$B$507))</f>
        <v/>
      </c>
    </row>
    <row r="61">
      <c r="A61" t="n">
        <v>58</v>
      </c>
      <c r="B61" s="13">
        <f>IF(COUNT(ABC!$B$8:$B$507)=0,0,MIN(A61,COUNT(ABC!$B$8:$B$507))/COUNT(ABC!$B$8:$B$507))</f>
        <v/>
      </c>
      <c r="C61" s="13">
        <f>IF(COUNT(ABC!$B$8:$B$507)=0,0,SUMIF(ABC!$D$8:$D$507,"&lt;="&amp;MIN(A61,COUNT(ABC!$B$8:$B$507)),ABC!$B$8:$B$507)/SUM(ABC!$B$8:$B$507))</f>
        <v/>
      </c>
    </row>
    <row r="62">
      <c r="A62" t="n">
        <v>59</v>
      </c>
      <c r="B62" s="13">
        <f>IF(COUNT(ABC!$B$8:$B$507)=0,0,MIN(A62,COUNT(ABC!$B$8:$B$507))/COUNT(ABC!$B$8:$B$507))</f>
        <v/>
      </c>
      <c r="C62" s="13">
        <f>IF(COUNT(ABC!$B$8:$B$507)=0,0,SUMIF(ABC!$D$8:$D$507,"&lt;="&amp;MIN(A62,COUNT(ABC!$B$8:$B$507)),ABC!$B$8:$B$507)/SUM(ABC!$B$8:$B$507))</f>
        <v/>
      </c>
    </row>
    <row r="63">
      <c r="A63" t="n">
        <v>60</v>
      </c>
      <c r="B63" s="13">
        <f>IF(COUNT(ABC!$B$8:$B$507)=0,0,MIN(A63,COUNT(ABC!$B$8:$B$507))/COUNT(ABC!$B$8:$B$507))</f>
        <v/>
      </c>
      <c r="C63" s="13">
        <f>IF(COUNT(ABC!$B$8:$B$507)=0,0,SUMIF(ABC!$D$8:$D$507,"&lt;="&amp;MIN(A63,COUNT(ABC!$B$8:$B$507)),ABC!$B$8:$B$507)/SUM(ABC!$B$8:$B$507))</f>
        <v/>
      </c>
    </row>
    <row r="64">
      <c r="A64" t="n">
        <v>61</v>
      </c>
      <c r="B64" s="13">
        <f>IF(COUNT(ABC!$B$8:$B$507)=0,0,MIN(A64,COUNT(ABC!$B$8:$B$507))/COUNT(ABC!$B$8:$B$507))</f>
        <v/>
      </c>
      <c r="C64" s="13">
        <f>IF(COUNT(ABC!$B$8:$B$507)=0,0,SUMIF(ABC!$D$8:$D$507,"&lt;="&amp;MIN(A64,COUNT(ABC!$B$8:$B$507)),ABC!$B$8:$B$507)/SUM(ABC!$B$8:$B$507))</f>
        <v/>
      </c>
    </row>
    <row r="65">
      <c r="A65" t="n">
        <v>62</v>
      </c>
      <c r="B65" s="13">
        <f>IF(COUNT(ABC!$B$8:$B$507)=0,0,MIN(A65,COUNT(ABC!$B$8:$B$507))/COUNT(ABC!$B$8:$B$507))</f>
        <v/>
      </c>
      <c r="C65" s="13">
        <f>IF(COUNT(ABC!$B$8:$B$507)=0,0,SUMIF(ABC!$D$8:$D$507,"&lt;="&amp;MIN(A65,COUNT(ABC!$B$8:$B$507)),ABC!$B$8:$B$507)/SUM(ABC!$B$8:$B$507))</f>
        <v/>
      </c>
    </row>
    <row r="66">
      <c r="A66" t="n">
        <v>63</v>
      </c>
      <c r="B66" s="13">
        <f>IF(COUNT(ABC!$B$8:$B$507)=0,0,MIN(A66,COUNT(ABC!$B$8:$B$507))/COUNT(ABC!$B$8:$B$507))</f>
        <v/>
      </c>
      <c r="C66" s="13">
        <f>IF(COUNT(ABC!$B$8:$B$507)=0,0,SUMIF(ABC!$D$8:$D$507,"&lt;="&amp;MIN(A66,COUNT(ABC!$B$8:$B$507)),ABC!$B$8:$B$507)/SUM(ABC!$B$8:$B$507))</f>
        <v/>
      </c>
    </row>
    <row r="67">
      <c r="A67" t="n">
        <v>64</v>
      </c>
      <c r="B67" s="13">
        <f>IF(COUNT(ABC!$B$8:$B$507)=0,0,MIN(A67,COUNT(ABC!$B$8:$B$507))/COUNT(ABC!$B$8:$B$507))</f>
        <v/>
      </c>
      <c r="C67" s="13">
        <f>IF(COUNT(ABC!$B$8:$B$507)=0,0,SUMIF(ABC!$D$8:$D$507,"&lt;="&amp;MIN(A67,COUNT(ABC!$B$8:$B$507)),ABC!$B$8:$B$507)/SUM(ABC!$B$8:$B$507))</f>
        <v/>
      </c>
    </row>
    <row r="68">
      <c r="A68" t="n">
        <v>65</v>
      </c>
      <c r="B68" s="13">
        <f>IF(COUNT(ABC!$B$8:$B$507)=0,0,MIN(A68,COUNT(ABC!$B$8:$B$507))/COUNT(ABC!$B$8:$B$507))</f>
        <v/>
      </c>
      <c r="C68" s="13">
        <f>IF(COUNT(ABC!$B$8:$B$507)=0,0,SUMIF(ABC!$D$8:$D$507,"&lt;="&amp;MIN(A68,COUNT(ABC!$B$8:$B$507)),ABC!$B$8:$B$507)/SUM(ABC!$B$8:$B$507))</f>
        <v/>
      </c>
    </row>
    <row r="69">
      <c r="A69" t="n">
        <v>66</v>
      </c>
      <c r="B69" s="13">
        <f>IF(COUNT(ABC!$B$8:$B$507)=0,0,MIN(A69,COUNT(ABC!$B$8:$B$507))/COUNT(ABC!$B$8:$B$507))</f>
        <v/>
      </c>
      <c r="C69" s="13">
        <f>IF(COUNT(ABC!$B$8:$B$507)=0,0,SUMIF(ABC!$D$8:$D$507,"&lt;="&amp;MIN(A69,COUNT(ABC!$B$8:$B$507)),ABC!$B$8:$B$507)/SUM(ABC!$B$8:$B$507))</f>
        <v/>
      </c>
    </row>
    <row r="70">
      <c r="A70" t="n">
        <v>67</v>
      </c>
      <c r="B70" s="13">
        <f>IF(COUNT(ABC!$B$8:$B$507)=0,0,MIN(A70,COUNT(ABC!$B$8:$B$507))/COUNT(ABC!$B$8:$B$507))</f>
        <v/>
      </c>
      <c r="C70" s="13">
        <f>IF(COUNT(ABC!$B$8:$B$507)=0,0,SUMIF(ABC!$D$8:$D$507,"&lt;="&amp;MIN(A70,COUNT(ABC!$B$8:$B$507)),ABC!$B$8:$B$507)/SUM(ABC!$B$8:$B$507))</f>
        <v/>
      </c>
    </row>
    <row r="71">
      <c r="A71" t="n">
        <v>68</v>
      </c>
      <c r="B71" s="13">
        <f>IF(COUNT(ABC!$B$8:$B$507)=0,0,MIN(A71,COUNT(ABC!$B$8:$B$507))/COUNT(ABC!$B$8:$B$507))</f>
        <v/>
      </c>
      <c r="C71" s="13">
        <f>IF(COUNT(ABC!$B$8:$B$507)=0,0,SUMIF(ABC!$D$8:$D$507,"&lt;="&amp;MIN(A71,COUNT(ABC!$B$8:$B$507)),ABC!$B$8:$B$507)/SUM(ABC!$B$8:$B$507))</f>
        <v/>
      </c>
    </row>
    <row r="72">
      <c r="A72" t="n">
        <v>69</v>
      </c>
      <c r="B72" s="13">
        <f>IF(COUNT(ABC!$B$8:$B$507)=0,0,MIN(A72,COUNT(ABC!$B$8:$B$507))/COUNT(ABC!$B$8:$B$507))</f>
        <v/>
      </c>
      <c r="C72" s="13">
        <f>IF(COUNT(ABC!$B$8:$B$507)=0,0,SUMIF(ABC!$D$8:$D$507,"&lt;="&amp;MIN(A72,COUNT(ABC!$B$8:$B$507)),ABC!$B$8:$B$507)/SUM(ABC!$B$8:$B$507))</f>
        <v/>
      </c>
    </row>
    <row r="73">
      <c r="A73" t="n">
        <v>70</v>
      </c>
      <c r="B73" s="13">
        <f>IF(COUNT(ABC!$B$8:$B$507)=0,0,MIN(A73,COUNT(ABC!$B$8:$B$507))/COUNT(ABC!$B$8:$B$507))</f>
        <v/>
      </c>
      <c r="C73" s="13">
        <f>IF(COUNT(ABC!$B$8:$B$507)=0,0,SUMIF(ABC!$D$8:$D$507,"&lt;="&amp;MIN(A73,COUNT(ABC!$B$8:$B$507)),ABC!$B$8:$B$507)/SUM(ABC!$B$8:$B$507))</f>
        <v/>
      </c>
    </row>
    <row r="74">
      <c r="A74" t="n">
        <v>71</v>
      </c>
      <c r="B74" s="13">
        <f>IF(COUNT(ABC!$B$8:$B$507)=0,0,MIN(A74,COUNT(ABC!$B$8:$B$507))/COUNT(ABC!$B$8:$B$507))</f>
        <v/>
      </c>
      <c r="C74" s="13">
        <f>IF(COUNT(ABC!$B$8:$B$507)=0,0,SUMIF(ABC!$D$8:$D$507,"&lt;="&amp;MIN(A74,COUNT(ABC!$B$8:$B$507)),ABC!$B$8:$B$507)/SUM(ABC!$B$8:$B$507))</f>
        <v/>
      </c>
    </row>
    <row r="75">
      <c r="A75" t="n">
        <v>72</v>
      </c>
      <c r="B75" s="13">
        <f>IF(COUNT(ABC!$B$8:$B$507)=0,0,MIN(A75,COUNT(ABC!$B$8:$B$507))/COUNT(ABC!$B$8:$B$507))</f>
        <v/>
      </c>
      <c r="C75" s="13">
        <f>IF(COUNT(ABC!$B$8:$B$507)=0,0,SUMIF(ABC!$D$8:$D$507,"&lt;="&amp;MIN(A75,COUNT(ABC!$B$8:$B$507)),ABC!$B$8:$B$507)/SUM(ABC!$B$8:$B$507))</f>
        <v/>
      </c>
    </row>
    <row r="76">
      <c r="A76" t="n">
        <v>73</v>
      </c>
      <c r="B76" s="13">
        <f>IF(COUNT(ABC!$B$8:$B$507)=0,0,MIN(A76,COUNT(ABC!$B$8:$B$507))/COUNT(ABC!$B$8:$B$507))</f>
        <v/>
      </c>
      <c r="C76" s="13">
        <f>IF(COUNT(ABC!$B$8:$B$507)=0,0,SUMIF(ABC!$D$8:$D$507,"&lt;="&amp;MIN(A76,COUNT(ABC!$B$8:$B$507)),ABC!$B$8:$B$507)/SUM(ABC!$B$8:$B$507))</f>
        <v/>
      </c>
    </row>
    <row r="77">
      <c r="A77" t="n">
        <v>74</v>
      </c>
      <c r="B77" s="13">
        <f>IF(COUNT(ABC!$B$8:$B$507)=0,0,MIN(A77,COUNT(ABC!$B$8:$B$507))/COUNT(ABC!$B$8:$B$507))</f>
        <v/>
      </c>
      <c r="C77" s="13">
        <f>IF(COUNT(ABC!$B$8:$B$507)=0,0,SUMIF(ABC!$D$8:$D$507,"&lt;="&amp;MIN(A77,COUNT(ABC!$B$8:$B$507)),ABC!$B$8:$B$507)/SUM(ABC!$B$8:$B$507))</f>
        <v/>
      </c>
    </row>
    <row r="78">
      <c r="A78" t="n">
        <v>75</v>
      </c>
      <c r="B78" s="13">
        <f>IF(COUNT(ABC!$B$8:$B$507)=0,0,MIN(A78,COUNT(ABC!$B$8:$B$507))/COUNT(ABC!$B$8:$B$507))</f>
        <v/>
      </c>
      <c r="C78" s="13">
        <f>IF(COUNT(ABC!$B$8:$B$507)=0,0,SUMIF(ABC!$D$8:$D$507,"&lt;="&amp;MIN(A78,COUNT(ABC!$B$8:$B$507)),ABC!$B$8:$B$507)/SUM(ABC!$B$8:$B$507))</f>
        <v/>
      </c>
    </row>
    <row r="79">
      <c r="A79" t="n">
        <v>76</v>
      </c>
      <c r="B79" s="13">
        <f>IF(COUNT(ABC!$B$8:$B$507)=0,0,MIN(A79,COUNT(ABC!$B$8:$B$507))/COUNT(ABC!$B$8:$B$507))</f>
        <v/>
      </c>
      <c r="C79" s="13">
        <f>IF(COUNT(ABC!$B$8:$B$507)=0,0,SUMIF(ABC!$D$8:$D$507,"&lt;="&amp;MIN(A79,COUNT(ABC!$B$8:$B$507)),ABC!$B$8:$B$507)/SUM(ABC!$B$8:$B$507))</f>
        <v/>
      </c>
    </row>
    <row r="80">
      <c r="A80" t="n">
        <v>77</v>
      </c>
      <c r="B80" s="13">
        <f>IF(COUNT(ABC!$B$8:$B$507)=0,0,MIN(A80,COUNT(ABC!$B$8:$B$507))/COUNT(ABC!$B$8:$B$507))</f>
        <v/>
      </c>
      <c r="C80" s="13">
        <f>IF(COUNT(ABC!$B$8:$B$507)=0,0,SUMIF(ABC!$D$8:$D$507,"&lt;="&amp;MIN(A80,COUNT(ABC!$B$8:$B$507)),ABC!$B$8:$B$507)/SUM(ABC!$B$8:$B$507))</f>
        <v/>
      </c>
    </row>
    <row r="81">
      <c r="A81" t="n">
        <v>78</v>
      </c>
      <c r="B81" s="13">
        <f>IF(COUNT(ABC!$B$8:$B$507)=0,0,MIN(A81,COUNT(ABC!$B$8:$B$507))/COUNT(ABC!$B$8:$B$507))</f>
        <v/>
      </c>
      <c r="C81" s="13">
        <f>IF(COUNT(ABC!$B$8:$B$507)=0,0,SUMIF(ABC!$D$8:$D$507,"&lt;="&amp;MIN(A81,COUNT(ABC!$B$8:$B$507)),ABC!$B$8:$B$507)/SUM(ABC!$B$8:$B$507))</f>
        <v/>
      </c>
    </row>
    <row r="82">
      <c r="A82" t="n">
        <v>79</v>
      </c>
      <c r="B82" s="13">
        <f>IF(COUNT(ABC!$B$8:$B$507)=0,0,MIN(A82,COUNT(ABC!$B$8:$B$507))/COUNT(ABC!$B$8:$B$507))</f>
        <v/>
      </c>
      <c r="C82" s="13">
        <f>IF(COUNT(ABC!$B$8:$B$507)=0,0,SUMIF(ABC!$D$8:$D$507,"&lt;="&amp;MIN(A82,COUNT(ABC!$B$8:$B$507)),ABC!$B$8:$B$507)/SUM(ABC!$B$8:$B$507))</f>
        <v/>
      </c>
    </row>
    <row r="83">
      <c r="A83" t="n">
        <v>80</v>
      </c>
      <c r="B83" s="13">
        <f>IF(COUNT(ABC!$B$8:$B$507)=0,0,MIN(A83,COUNT(ABC!$B$8:$B$507))/COUNT(ABC!$B$8:$B$507))</f>
        <v/>
      </c>
      <c r="C83" s="13">
        <f>IF(COUNT(ABC!$B$8:$B$507)=0,0,SUMIF(ABC!$D$8:$D$507,"&lt;="&amp;MIN(A83,COUNT(ABC!$B$8:$B$507)),ABC!$B$8:$B$507)/SUM(ABC!$B$8:$B$507))</f>
        <v/>
      </c>
    </row>
    <row r="84">
      <c r="A84" t="n">
        <v>81</v>
      </c>
      <c r="B84" s="13">
        <f>IF(COUNT(ABC!$B$8:$B$507)=0,0,MIN(A84,COUNT(ABC!$B$8:$B$507))/COUNT(ABC!$B$8:$B$507))</f>
        <v/>
      </c>
      <c r="C84" s="13">
        <f>IF(COUNT(ABC!$B$8:$B$507)=0,0,SUMIF(ABC!$D$8:$D$507,"&lt;="&amp;MIN(A84,COUNT(ABC!$B$8:$B$507)),ABC!$B$8:$B$507)/SUM(ABC!$B$8:$B$507))</f>
        <v/>
      </c>
    </row>
    <row r="85">
      <c r="A85" t="n">
        <v>82</v>
      </c>
      <c r="B85" s="13">
        <f>IF(COUNT(ABC!$B$8:$B$507)=0,0,MIN(A85,COUNT(ABC!$B$8:$B$507))/COUNT(ABC!$B$8:$B$507))</f>
        <v/>
      </c>
      <c r="C85" s="13">
        <f>IF(COUNT(ABC!$B$8:$B$507)=0,0,SUMIF(ABC!$D$8:$D$507,"&lt;="&amp;MIN(A85,COUNT(ABC!$B$8:$B$507)),ABC!$B$8:$B$507)/SUM(ABC!$B$8:$B$507))</f>
        <v/>
      </c>
    </row>
    <row r="86">
      <c r="A86" t="n">
        <v>83</v>
      </c>
      <c r="B86" s="13">
        <f>IF(COUNT(ABC!$B$8:$B$507)=0,0,MIN(A86,COUNT(ABC!$B$8:$B$507))/COUNT(ABC!$B$8:$B$507))</f>
        <v/>
      </c>
      <c r="C86" s="13">
        <f>IF(COUNT(ABC!$B$8:$B$507)=0,0,SUMIF(ABC!$D$8:$D$507,"&lt;="&amp;MIN(A86,COUNT(ABC!$B$8:$B$507)),ABC!$B$8:$B$507)/SUM(ABC!$B$8:$B$507))</f>
        <v/>
      </c>
    </row>
    <row r="87">
      <c r="A87" t="n">
        <v>84</v>
      </c>
      <c r="B87" s="13">
        <f>IF(COUNT(ABC!$B$8:$B$507)=0,0,MIN(A87,COUNT(ABC!$B$8:$B$507))/COUNT(ABC!$B$8:$B$507))</f>
        <v/>
      </c>
      <c r="C87" s="13">
        <f>IF(COUNT(ABC!$B$8:$B$507)=0,0,SUMIF(ABC!$D$8:$D$507,"&lt;="&amp;MIN(A87,COUNT(ABC!$B$8:$B$507)),ABC!$B$8:$B$507)/SUM(ABC!$B$8:$B$507))</f>
        <v/>
      </c>
    </row>
    <row r="88">
      <c r="A88" t="n">
        <v>85</v>
      </c>
      <c r="B88" s="13">
        <f>IF(COUNT(ABC!$B$8:$B$507)=0,0,MIN(A88,COUNT(ABC!$B$8:$B$507))/COUNT(ABC!$B$8:$B$507))</f>
        <v/>
      </c>
      <c r="C88" s="13">
        <f>IF(COUNT(ABC!$B$8:$B$507)=0,0,SUMIF(ABC!$D$8:$D$507,"&lt;="&amp;MIN(A88,COUNT(ABC!$B$8:$B$507)),ABC!$B$8:$B$507)/SUM(ABC!$B$8:$B$507))</f>
        <v/>
      </c>
    </row>
    <row r="89">
      <c r="A89" t="n">
        <v>86</v>
      </c>
      <c r="B89" s="13">
        <f>IF(COUNT(ABC!$B$8:$B$507)=0,0,MIN(A89,COUNT(ABC!$B$8:$B$507))/COUNT(ABC!$B$8:$B$507))</f>
        <v/>
      </c>
      <c r="C89" s="13">
        <f>IF(COUNT(ABC!$B$8:$B$507)=0,0,SUMIF(ABC!$D$8:$D$507,"&lt;="&amp;MIN(A89,COUNT(ABC!$B$8:$B$507)),ABC!$B$8:$B$507)/SUM(ABC!$B$8:$B$507))</f>
        <v/>
      </c>
    </row>
    <row r="90">
      <c r="A90" t="n">
        <v>87</v>
      </c>
      <c r="B90" s="13">
        <f>IF(COUNT(ABC!$B$8:$B$507)=0,0,MIN(A90,COUNT(ABC!$B$8:$B$507))/COUNT(ABC!$B$8:$B$507))</f>
        <v/>
      </c>
      <c r="C90" s="13">
        <f>IF(COUNT(ABC!$B$8:$B$507)=0,0,SUMIF(ABC!$D$8:$D$507,"&lt;="&amp;MIN(A90,COUNT(ABC!$B$8:$B$507)),ABC!$B$8:$B$507)/SUM(ABC!$B$8:$B$507))</f>
        <v/>
      </c>
    </row>
    <row r="91">
      <c r="A91" t="n">
        <v>88</v>
      </c>
      <c r="B91" s="13">
        <f>IF(COUNT(ABC!$B$8:$B$507)=0,0,MIN(A91,COUNT(ABC!$B$8:$B$507))/COUNT(ABC!$B$8:$B$507))</f>
        <v/>
      </c>
      <c r="C91" s="13">
        <f>IF(COUNT(ABC!$B$8:$B$507)=0,0,SUMIF(ABC!$D$8:$D$507,"&lt;="&amp;MIN(A91,COUNT(ABC!$B$8:$B$507)),ABC!$B$8:$B$507)/SUM(ABC!$B$8:$B$507))</f>
        <v/>
      </c>
    </row>
    <row r="92">
      <c r="A92" t="n">
        <v>89</v>
      </c>
      <c r="B92" s="13">
        <f>IF(COUNT(ABC!$B$8:$B$507)=0,0,MIN(A92,COUNT(ABC!$B$8:$B$507))/COUNT(ABC!$B$8:$B$507))</f>
        <v/>
      </c>
      <c r="C92" s="13">
        <f>IF(COUNT(ABC!$B$8:$B$507)=0,0,SUMIF(ABC!$D$8:$D$507,"&lt;="&amp;MIN(A92,COUNT(ABC!$B$8:$B$507)),ABC!$B$8:$B$507)/SUM(ABC!$B$8:$B$507))</f>
        <v/>
      </c>
    </row>
    <row r="93">
      <c r="A93" t="n">
        <v>90</v>
      </c>
      <c r="B93" s="13">
        <f>IF(COUNT(ABC!$B$8:$B$507)=0,0,MIN(A93,COUNT(ABC!$B$8:$B$507))/COUNT(ABC!$B$8:$B$507))</f>
        <v/>
      </c>
      <c r="C93" s="13">
        <f>IF(COUNT(ABC!$B$8:$B$507)=0,0,SUMIF(ABC!$D$8:$D$507,"&lt;="&amp;MIN(A93,COUNT(ABC!$B$8:$B$507)),ABC!$B$8:$B$507)/SUM(ABC!$B$8:$B$507))</f>
        <v/>
      </c>
    </row>
    <row r="94">
      <c r="A94" t="n">
        <v>91</v>
      </c>
      <c r="B94" s="13">
        <f>IF(COUNT(ABC!$B$8:$B$507)=0,0,MIN(A94,COUNT(ABC!$B$8:$B$507))/COUNT(ABC!$B$8:$B$507))</f>
        <v/>
      </c>
      <c r="C94" s="13">
        <f>IF(COUNT(ABC!$B$8:$B$507)=0,0,SUMIF(ABC!$D$8:$D$507,"&lt;="&amp;MIN(A94,COUNT(ABC!$B$8:$B$507)),ABC!$B$8:$B$507)/SUM(ABC!$B$8:$B$507))</f>
        <v/>
      </c>
    </row>
    <row r="95">
      <c r="A95" t="n">
        <v>92</v>
      </c>
      <c r="B95" s="13">
        <f>IF(COUNT(ABC!$B$8:$B$507)=0,0,MIN(A95,COUNT(ABC!$B$8:$B$507))/COUNT(ABC!$B$8:$B$507))</f>
        <v/>
      </c>
      <c r="C95" s="13">
        <f>IF(COUNT(ABC!$B$8:$B$507)=0,0,SUMIF(ABC!$D$8:$D$507,"&lt;="&amp;MIN(A95,COUNT(ABC!$B$8:$B$507)),ABC!$B$8:$B$507)/SUM(ABC!$B$8:$B$507))</f>
        <v/>
      </c>
    </row>
    <row r="96">
      <c r="A96" t="n">
        <v>93</v>
      </c>
      <c r="B96" s="13">
        <f>IF(COUNT(ABC!$B$8:$B$507)=0,0,MIN(A96,COUNT(ABC!$B$8:$B$507))/COUNT(ABC!$B$8:$B$507))</f>
        <v/>
      </c>
      <c r="C96" s="13">
        <f>IF(COUNT(ABC!$B$8:$B$507)=0,0,SUMIF(ABC!$D$8:$D$507,"&lt;="&amp;MIN(A96,COUNT(ABC!$B$8:$B$507)),ABC!$B$8:$B$507)/SUM(ABC!$B$8:$B$507))</f>
        <v/>
      </c>
    </row>
    <row r="97">
      <c r="A97" t="n">
        <v>94</v>
      </c>
      <c r="B97" s="13">
        <f>IF(COUNT(ABC!$B$8:$B$507)=0,0,MIN(A97,COUNT(ABC!$B$8:$B$507))/COUNT(ABC!$B$8:$B$507))</f>
        <v/>
      </c>
      <c r="C97" s="13">
        <f>IF(COUNT(ABC!$B$8:$B$507)=0,0,SUMIF(ABC!$D$8:$D$507,"&lt;="&amp;MIN(A97,COUNT(ABC!$B$8:$B$507)),ABC!$B$8:$B$507)/SUM(ABC!$B$8:$B$507))</f>
        <v/>
      </c>
    </row>
    <row r="98">
      <c r="A98" t="n">
        <v>95</v>
      </c>
      <c r="B98" s="13">
        <f>IF(COUNT(ABC!$B$8:$B$507)=0,0,MIN(A98,COUNT(ABC!$B$8:$B$507))/COUNT(ABC!$B$8:$B$507))</f>
        <v/>
      </c>
      <c r="C98" s="13">
        <f>IF(COUNT(ABC!$B$8:$B$507)=0,0,SUMIF(ABC!$D$8:$D$507,"&lt;="&amp;MIN(A98,COUNT(ABC!$B$8:$B$507)),ABC!$B$8:$B$507)/SUM(ABC!$B$8:$B$507))</f>
        <v/>
      </c>
    </row>
    <row r="99">
      <c r="A99" t="n">
        <v>96</v>
      </c>
      <c r="B99" s="13">
        <f>IF(COUNT(ABC!$B$8:$B$507)=0,0,MIN(A99,COUNT(ABC!$B$8:$B$507))/COUNT(ABC!$B$8:$B$507))</f>
        <v/>
      </c>
      <c r="C99" s="13">
        <f>IF(COUNT(ABC!$B$8:$B$507)=0,0,SUMIF(ABC!$D$8:$D$507,"&lt;="&amp;MIN(A99,COUNT(ABC!$B$8:$B$507)),ABC!$B$8:$B$507)/SUM(ABC!$B$8:$B$507))</f>
        <v/>
      </c>
    </row>
    <row r="100">
      <c r="A100" t="n">
        <v>97</v>
      </c>
      <c r="B100" s="13">
        <f>IF(COUNT(ABC!$B$8:$B$507)=0,0,MIN(A100,COUNT(ABC!$B$8:$B$507))/COUNT(ABC!$B$8:$B$507))</f>
        <v/>
      </c>
      <c r="C100" s="13">
        <f>IF(COUNT(ABC!$B$8:$B$507)=0,0,SUMIF(ABC!$D$8:$D$507,"&lt;="&amp;MIN(A100,COUNT(ABC!$B$8:$B$507)),ABC!$B$8:$B$507)/SUM(ABC!$B$8:$B$507))</f>
        <v/>
      </c>
    </row>
    <row r="101">
      <c r="A101" t="n">
        <v>98</v>
      </c>
      <c r="B101" s="13">
        <f>IF(COUNT(ABC!$B$8:$B$507)=0,0,MIN(A101,COUNT(ABC!$B$8:$B$507))/COUNT(ABC!$B$8:$B$507))</f>
        <v/>
      </c>
      <c r="C101" s="13">
        <f>IF(COUNT(ABC!$B$8:$B$507)=0,0,SUMIF(ABC!$D$8:$D$507,"&lt;="&amp;MIN(A101,COUNT(ABC!$B$8:$B$507)),ABC!$B$8:$B$507)/SUM(ABC!$B$8:$B$507))</f>
        <v/>
      </c>
    </row>
    <row r="102">
      <c r="A102" t="n">
        <v>99</v>
      </c>
      <c r="B102" s="13">
        <f>IF(COUNT(ABC!$B$8:$B$507)=0,0,MIN(A102,COUNT(ABC!$B$8:$B$507))/COUNT(ABC!$B$8:$B$507))</f>
        <v/>
      </c>
      <c r="C102" s="13">
        <f>IF(COUNT(ABC!$B$8:$B$507)=0,0,SUMIF(ABC!$D$8:$D$507,"&lt;="&amp;MIN(A102,COUNT(ABC!$B$8:$B$507)),ABC!$B$8:$B$507)/SUM(ABC!$B$8:$B$507))</f>
        <v/>
      </c>
    </row>
    <row r="103">
      <c r="A103" t="n">
        <v>100</v>
      </c>
      <c r="B103" s="13">
        <f>IF(COUNT(ABC!$B$8:$B$507)=0,0,MIN(A103,COUNT(ABC!$B$8:$B$507))/COUNT(ABC!$B$8:$B$507))</f>
        <v/>
      </c>
      <c r="C103" s="13">
        <f>IF(COUNT(ABC!$B$8:$B$507)=0,0,SUMIF(ABC!$D$8:$D$507,"&lt;="&amp;MIN(A103,COUNT(ABC!$B$8:$B$507)),ABC!$B$8:$B$507)/SUM(ABC!$B$8:$B$507))</f>
        <v/>
      </c>
    </row>
    <row r="104">
      <c r="A104" t="n">
        <v>101</v>
      </c>
      <c r="B104" s="13">
        <f>IF(COUNT(ABC!$B$8:$B$507)=0,0,MIN(A104,COUNT(ABC!$B$8:$B$507))/COUNT(ABC!$B$8:$B$507))</f>
        <v/>
      </c>
      <c r="C104" s="13">
        <f>IF(COUNT(ABC!$B$8:$B$507)=0,0,SUMIF(ABC!$D$8:$D$507,"&lt;="&amp;MIN(A104,COUNT(ABC!$B$8:$B$507)),ABC!$B$8:$B$507)/SUM(ABC!$B$8:$B$507))</f>
        <v/>
      </c>
    </row>
    <row r="105">
      <c r="A105" t="n">
        <v>102</v>
      </c>
      <c r="B105" s="13">
        <f>IF(COUNT(ABC!$B$8:$B$507)=0,0,MIN(A105,COUNT(ABC!$B$8:$B$507))/COUNT(ABC!$B$8:$B$507))</f>
        <v/>
      </c>
      <c r="C105" s="13">
        <f>IF(COUNT(ABC!$B$8:$B$507)=0,0,SUMIF(ABC!$D$8:$D$507,"&lt;="&amp;MIN(A105,COUNT(ABC!$B$8:$B$507)),ABC!$B$8:$B$507)/SUM(ABC!$B$8:$B$507))</f>
        <v/>
      </c>
    </row>
    <row r="106">
      <c r="A106" t="n">
        <v>103</v>
      </c>
      <c r="B106" s="13">
        <f>IF(COUNT(ABC!$B$8:$B$507)=0,0,MIN(A106,COUNT(ABC!$B$8:$B$507))/COUNT(ABC!$B$8:$B$507))</f>
        <v/>
      </c>
      <c r="C106" s="13">
        <f>IF(COUNT(ABC!$B$8:$B$507)=0,0,SUMIF(ABC!$D$8:$D$507,"&lt;="&amp;MIN(A106,COUNT(ABC!$B$8:$B$507)),ABC!$B$8:$B$507)/SUM(ABC!$B$8:$B$507))</f>
        <v/>
      </c>
    </row>
    <row r="107">
      <c r="A107" t="n">
        <v>104</v>
      </c>
      <c r="B107" s="13">
        <f>IF(COUNT(ABC!$B$8:$B$507)=0,0,MIN(A107,COUNT(ABC!$B$8:$B$507))/COUNT(ABC!$B$8:$B$507))</f>
        <v/>
      </c>
      <c r="C107" s="13">
        <f>IF(COUNT(ABC!$B$8:$B$507)=0,0,SUMIF(ABC!$D$8:$D$507,"&lt;="&amp;MIN(A107,COUNT(ABC!$B$8:$B$507)),ABC!$B$8:$B$507)/SUM(ABC!$B$8:$B$507))</f>
        <v/>
      </c>
    </row>
    <row r="108">
      <c r="A108" t="n">
        <v>105</v>
      </c>
      <c r="B108" s="13">
        <f>IF(COUNT(ABC!$B$8:$B$507)=0,0,MIN(A108,COUNT(ABC!$B$8:$B$507))/COUNT(ABC!$B$8:$B$507))</f>
        <v/>
      </c>
      <c r="C108" s="13">
        <f>IF(COUNT(ABC!$B$8:$B$507)=0,0,SUMIF(ABC!$D$8:$D$507,"&lt;="&amp;MIN(A108,COUNT(ABC!$B$8:$B$507)),ABC!$B$8:$B$507)/SUM(ABC!$B$8:$B$507))</f>
        <v/>
      </c>
    </row>
    <row r="109">
      <c r="A109" t="n">
        <v>106</v>
      </c>
      <c r="B109" s="13">
        <f>IF(COUNT(ABC!$B$8:$B$507)=0,0,MIN(A109,COUNT(ABC!$B$8:$B$507))/COUNT(ABC!$B$8:$B$507))</f>
        <v/>
      </c>
      <c r="C109" s="13">
        <f>IF(COUNT(ABC!$B$8:$B$507)=0,0,SUMIF(ABC!$D$8:$D$507,"&lt;="&amp;MIN(A109,COUNT(ABC!$B$8:$B$507)),ABC!$B$8:$B$507)/SUM(ABC!$B$8:$B$507))</f>
        <v/>
      </c>
    </row>
    <row r="110">
      <c r="A110" t="n">
        <v>107</v>
      </c>
      <c r="B110" s="13">
        <f>IF(COUNT(ABC!$B$8:$B$507)=0,0,MIN(A110,COUNT(ABC!$B$8:$B$507))/COUNT(ABC!$B$8:$B$507))</f>
        <v/>
      </c>
      <c r="C110" s="13">
        <f>IF(COUNT(ABC!$B$8:$B$507)=0,0,SUMIF(ABC!$D$8:$D$507,"&lt;="&amp;MIN(A110,COUNT(ABC!$B$8:$B$507)),ABC!$B$8:$B$507)/SUM(ABC!$B$8:$B$507))</f>
        <v/>
      </c>
    </row>
    <row r="111">
      <c r="A111" t="n">
        <v>108</v>
      </c>
      <c r="B111" s="13">
        <f>IF(COUNT(ABC!$B$8:$B$507)=0,0,MIN(A111,COUNT(ABC!$B$8:$B$507))/COUNT(ABC!$B$8:$B$507))</f>
        <v/>
      </c>
      <c r="C111" s="13">
        <f>IF(COUNT(ABC!$B$8:$B$507)=0,0,SUMIF(ABC!$D$8:$D$507,"&lt;="&amp;MIN(A111,COUNT(ABC!$B$8:$B$507)),ABC!$B$8:$B$507)/SUM(ABC!$B$8:$B$507))</f>
        <v/>
      </c>
    </row>
    <row r="112">
      <c r="A112" t="n">
        <v>109</v>
      </c>
      <c r="B112" s="13">
        <f>IF(COUNT(ABC!$B$8:$B$507)=0,0,MIN(A112,COUNT(ABC!$B$8:$B$507))/COUNT(ABC!$B$8:$B$507))</f>
        <v/>
      </c>
      <c r="C112" s="13">
        <f>IF(COUNT(ABC!$B$8:$B$507)=0,0,SUMIF(ABC!$D$8:$D$507,"&lt;="&amp;MIN(A112,COUNT(ABC!$B$8:$B$507)),ABC!$B$8:$B$507)/SUM(ABC!$B$8:$B$507))</f>
        <v/>
      </c>
    </row>
    <row r="113">
      <c r="A113" t="n">
        <v>110</v>
      </c>
      <c r="B113" s="13">
        <f>IF(COUNT(ABC!$B$8:$B$507)=0,0,MIN(A113,COUNT(ABC!$B$8:$B$507))/COUNT(ABC!$B$8:$B$507))</f>
        <v/>
      </c>
      <c r="C113" s="13">
        <f>IF(COUNT(ABC!$B$8:$B$507)=0,0,SUMIF(ABC!$D$8:$D$507,"&lt;="&amp;MIN(A113,COUNT(ABC!$B$8:$B$507)),ABC!$B$8:$B$507)/SUM(ABC!$B$8:$B$507))</f>
        <v/>
      </c>
    </row>
    <row r="114">
      <c r="A114" t="n">
        <v>111</v>
      </c>
      <c r="B114" s="13">
        <f>IF(COUNT(ABC!$B$8:$B$507)=0,0,MIN(A114,COUNT(ABC!$B$8:$B$507))/COUNT(ABC!$B$8:$B$507))</f>
        <v/>
      </c>
      <c r="C114" s="13">
        <f>IF(COUNT(ABC!$B$8:$B$507)=0,0,SUMIF(ABC!$D$8:$D$507,"&lt;="&amp;MIN(A114,COUNT(ABC!$B$8:$B$507)),ABC!$B$8:$B$507)/SUM(ABC!$B$8:$B$507))</f>
        <v/>
      </c>
    </row>
    <row r="115">
      <c r="A115" t="n">
        <v>112</v>
      </c>
      <c r="B115" s="13">
        <f>IF(COUNT(ABC!$B$8:$B$507)=0,0,MIN(A115,COUNT(ABC!$B$8:$B$507))/COUNT(ABC!$B$8:$B$507))</f>
        <v/>
      </c>
      <c r="C115" s="13">
        <f>IF(COUNT(ABC!$B$8:$B$507)=0,0,SUMIF(ABC!$D$8:$D$507,"&lt;="&amp;MIN(A115,COUNT(ABC!$B$8:$B$507)),ABC!$B$8:$B$507)/SUM(ABC!$B$8:$B$507))</f>
        <v/>
      </c>
    </row>
    <row r="116">
      <c r="A116" t="n">
        <v>113</v>
      </c>
      <c r="B116" s="13">
        <f>IF(COUNT(ABC!$B$8:$B$507)=0,0,MIN(A116,COUNT(ABC!$B$8:$B$507))/COUNT(ABC!$B$8:$B$507))</f>
        <v/>
      </c>
      <c r="C116" s="13">
        <f>IF(COUNT(ABC!$B$8:$B$507)=0,0,SUMIF(ABC!$D$8:$D$507,"&lt;="&amp;MIN(A116,COUNT(ABC!$B$8:$B$507)),ABC!$B$8:$B$507)/SUM(ABC!$B$8:$B$507))</f>
        <v/>
      </c>
    </row>
    <row r="117">
      <c r="A117" t="n">
        <v>114</v>
      </c>
      <c r="B117" s="13">
        <f>IF(COUNT(ABC!$B$8:$B$507)=0,0,MIN(A117,COUNT(ABC!$B$8:$B$507))/COUNT(ABC!$B$8:$B$507))</f>
        <v/>
      </c>
      <c r="C117" s="13">
        <f>IF(COUNT(ABC!$B$8:$B$507)=0,0,SUMIF(ABC!$D$8:$D$507,"&lt;="&amp;MIN(A117,COUNT(ABC!$B$8:$B$507)),ABC!$B$8:$B$507)/SUM(ABC!$B$8:$B$507))</f>
        <v/>
      </c>
    </row>
    <row r="118">
      <c r="A118" t="n">
        <v>115</v>
      </c>
      <c r="B118" s="13">
        <f>IF(COUNT(ABC!$B$8:$B$507)=0,0,MIN(A118,COUNT(ABC!$B$8:$B$507))/COUNT(ABC!$B$8:$B$507))</f>
        <v/>
      </c>
      <c r="C118" s="13">
        <f>IF(COUNT(ABC!$B$8:$B$507)=0,0,SUMIF(ABC!$D$8:$D$507,"&lt;="&amp;MIN(A118,COUNT(ABC!$B$8:$B$507)),ABC!$B$8:$B$507)/SUM(ABC!$B$8:$B$507))</f>
        <v/>
      </c>
    </row>
    <row r="119">
      <c r="A119" t="n">
        <v>116</v>
      </c>
      <c r="B119" s="13">
        <f>IF(COUNT(ABC!$B$8:$B$507)=0,0,MIN(A119,COUNT(ABC!$B$8:$B$507))/COUNT(ABC!$B$8:$B$507))</f>
        <v/>
      </c>
      <c r="C119" s="13">
        <f>IF(COUNT(ABC!$B$8:$B$507)=0,0,SUMIF(ABC!$D$8:$D$507,"&lt;="&amp;MIN(A119,COUNT(ABC!$B$8:$B$507)),ABC!$B$8:$B$507)/SUM(ABC!$B$8:$B$507))</f>
        <v/>
      </c>
    </row>
    <row r="120">
      <c r="A120" t="n">
        <v>117</v>
      </c>
      <c r="B120" s="13">
        <f>IF(COUNT(ABC!$B$8:$B$507)=0,0,MIN(A120,COUNT(ABC!$B$8:$B$507))/COUNT(ABC!$B$8:$B$507))</f>
        <v/>
      </c>
      <c r="C120" s="13">
        <f>IF(COUNT(ABC!$B$8:$B$507)=0,0,SUMIF(ABC!$D$8:$D$507,"&lt;="&amp;MIN(A120,COUNT(ABC!$B$8:$B$507)),ABC!$B$8:$B$507)/SUM(ABC!$B$8:$B$507))</f>
        <v/>
      </c>
    </row>
    <row r="121">
      <c r="A121" t="n">
        <v>118</v>
      </c>
      <c r="B121" s="13">
        <f>IF(COUNT(ABC!$B$8:$B$507)=0,0,MIN(A121,COUNT(ABC!$B$8:$B$507))/COUNT(ABC!$B$8:$B$507))</f>
        <v/>
      </c>
      <c r="C121" s="13">
        <f>IF(COUNT(ABC!$B$8:$B$507)=0,0,SUMIF(ABC!$D$8:$D$507,"&lt;="&amp;MIN(A121,COUNT(ABC!$B$8:$B$507)),ABC!$B$8:$B$507)/SUM(ABC!$B$8:$B$507))</f>
        <v/>
      </c>
    </row>
    <row r="122">
      <c r="A122" t="n">
        <v>119</v>
      </c>
      <c r="B122" s="13">
        <f>IF(COUNT(ABC!$B$8:$B$507)=0,0,MIN(A122,COUNT(ABC!$B$8:$B$507))/COUNT(ABC!$B$8:$B$507))</f>
        <v/>
      </c>
      <c r="C122" s="13">
        <f>IF(COUNT(ABC!$B$8:$B$507)=0,0,SUMIF(ABC!$D$8:$D$507,"&lt;="&amp;MIN(A122,COUNT(ABC!$B$8:$B$507)),ABC!$B$8:$B$507)/SUM(ABC!$B$8:$B$507))</f>
        <v/>
      </c>
    </row>
    <row r="123">
      <c r="A123" t="n">
        <v>120</v>
      </c>
      <c r="B123" s="13">
        <f>IF(COUNT(ABC!$B$8:$B$507)=0,0,MIN(A123,COUNT(ABC!$B$8:$B$507))/COUNT(ABC!$B$8:$B$507))</f>
        <v/>
      </c>
      <c r="C123" s="13">
        <f>IF(COUNT(ABC!$B$8:$B$507)=0,0,SUMIF(ABC!$D$8:$D$507,"&lt;="&amp;MIN(A123,COUNT(ABC!$B$8:$B$507)),ABC!$B$8:$B$507)/SUM(ABC!$B$8:$B$507))</f>
        <v/>
      </c>
    </row>
    <row r="124">
      <c r="A124" t="n">
        <v>121</v>
      </c>
      <c r="B124" s="13">
        <f>IF(COUNT(ABC!$B$8:$B$507)=0,0,MIN(A124,COUNT(ABC!$B$8:$B$507))/COUNT(ABC!$B$8:$B$507))</f>
        <v/>
      </c>
      <c r="C124" s="13">
        <f>IF(COUNT(ABC!$B$8:$B$507)=0,0,SUMIF(ABC!$D$8:$D$507,"&lt;="&amp;MIN(A124,COUNT(ABC!$B$8:$B$507)),ABC!$B$8:$B$507)/SUM(ABC!$B$8:$B$507))</f>
        <v/>
      </c>
    </row>
    <row r="125">
      <c r="A125" t="n">
        <v>122</v>
      </c>
      <c r="B125" s="13">
        <f>IF(COUNT(ABC!$B$8:$B$507)=0,0,MIN(A125,COUNT(ABC!$B$8:$B$507))/COUNT(ABC!$B$8:$B$507))</f>
        <v/>
      </c>
      <c r="C125" s="13">
        <f>IF(COUNT(ABC!$B$8:$B$507)=0,0,SUMIF(ABC!$D$8:$D$507,"&lt;="&amp;MIN(A125,COUNT(ABC!$B$8:$B$507)),ABC!$B$8:$B$507)/SUM(ABC!$B$8:$B$507))</f>
        <v/>
      </c>
    </row>
    <row r="126">
      <c r="A126" t="n">
        <v>123</v>
      </c>
      <c r="B126" s="13">
        <f>IF(COUNT(ABC!$B$8:$B$507)=0,0,MIN(A126,COUNT(ABC!$B$8:$B$507))/COUNT(ABC!$B$8:$B$507))</f>
        <v/>
      </c>
      <c r="C126" s="13">
        <f>IF(COUNT(ABC!$B$8:$B$507)=0,0,SUMIF(ABC!$D$8:$D$507,"&lt;="&amp;MIN(A126,COUNT(ABC!$B$8:$B$507)),ABC!$B$8:$B$507)/SUM(ABC!$B$8:$B$507))</f>
        <v/>
      </c>
    </row>
    <row r="127">
      <c r="A127" t="n">
        <v>124</v>
      </c>
      <c r="B127" s="13">
        <f>IF(COUNT(ABC!$B$8:$B$507)=0,0,MIN(A127,COUNT(ABC!$B$8:$B$507))/COUNT(ABC!$B$8:$B$507))</f>
        <v/>
      </c>
      <c r="C127" s="13">
        <f>IF(COUNT(ABC!$B$8:$B$507)=0,0,SUMIF(ABC!$D$8:$D$507,"&lt;="&amp;MIN(A127,COUNT(ABC!$B$8:$B$507)),ABC!$B$8:$B$507)/SUM(ABC!$B$8:$B$507))</f>
        <v/>
      </c>
    </row>
    <row r="128">
      <c r="A128" t="n">
        <v>125</v>
      </c>
      <c r="B128" s="13">
        <f>IF(COUNT(ABC!$B$8:$B$507)=0,0,MIN(A128,COUNT(ABC!$B$8:$B$507))/COUNT(ABC!$B$8:$B$507))</f>
        <v/>
      </c>
      <c r="C128" s="13">
        <f>IF(COUNT(ABC!$B$8:$B$507)=0,0,SUMIF(ABC!$D$8:$D$507,"&lt;="&amp;MIN(A128,COUNT(ABC!$B$8:$B$507)),ABC!$B$8:$B$507)/SUM(ABC!$B$8:$B$507))</f>
        <v/>
      </c>
    </row>
    <row r="129">
      <c r="A129" t="n">
        <v>126</v>
      </c>
      <c r="B129" s="13">
        <f>IF(COUNT(ABC!$B$8:$B$507)=0,0,MIN(A129,COUNT(ABC!$B$8:$B$507))/COUNT(ABC!$B$8:$B$507))</f>
        <v/>
      </c>
      <c r="C129" s="13">
        <f>IF(COUNT(ABC!$B$8:$B$507)=0,0,SUMIF(ABC!$D$8:$D$507,"&lt;="&amp;MIN(A129,COUNT(ABC!$B$8:$B$507)),ABC!$B$8:$B$507)/SUM(ABC!$B$8:$B$507))</f>
        <v/>
      </c>
    </row>
    <row r="130">
      <c r="A130" t="n">
        <v>127</v>
      </c>
      <c r="B130" s="13">
        <f>IF(COUNT(ABC!$B$8:$B$507)=0,0,MIN(A130,COUNT(ABC!$B$8:$B$507))/COUNT(ABC!$B$8:$B$507))</f>
        <v/>
      </c>
      <c r="C130" s="13">
        <f>IF(COUNT(ABC!$B$8:$B$507)=0,0,SUMIF(ABC!$D$8:$D$507,"&lt;="&amp;MIN(A130,COUNT(ABC!$B$8:$B$507)),ABC!$B$8:$B$507)/SUM(ABC!$B$8:$B$507))</f>
        <v/>
      </c>
    </row>
    <row r="131">
      <c r="A131" t="n">
        <v>128</v>
      </c>
      <c r="B131" s="13">
        <f>IF(COUNT(ABC!$B$8:$B$507)=0,0,MIN(A131,COUNT(ABC!$B$8:$B$507))/COUNT(ABC!$B$8:$B$507))</f>
        <v/>
      </c>
      <c r="C131" s="13">
        <f>IF(COUNT(ABC!$B$8:$B$507)=0,0,SUMIF(ABC!$D$8:$D$507,"&lt;="&amp;MIN(A131,COUNT(ABC!$B$8:$B$507)),ABC!$B$8:$B$507)/SUM(ABC!$B$8:$B$507))</f>
        <v/>
      </c>
    </row>
    <row r="132">
      <c r="A132" t="n">
        <v>129</v>
      </c>
      <c r="B132" s="13">
        <f>IF(COUNT(ABC!$B$8:$B$507)=0,0,MIN(A132,COUNT(ABC!$B$8:$B$507))/COUNT(ABC!$B$8:$B$507))</f>
        <v/>
      </c>
      <c r="C132" s="13">
        <f>IF(COUNT(ABC!$B$8:$B$507)=0,0,SUMIF(ABC!$D$8:$D$507,"&lt;="&amp;MIN(A132,COUNT(ABC!$B$8:$B$507)),ABC!$B$8:$B$507)/SUM(ABC!$B$8:$B$507))</f>
        <v/>
      </c>
    </row>
    <row r="133">
      <c r="A133" t="n">
        <v>130</v>
      </c>
      <c r="B133" s="13">
        <f>IF(COUNT(ABC!$B$8:$B$507)=0,0,MIN(A133,COUNT(ABC!$B$8:$B$507))/COUNT(ABC!$B$8:$B$507))</f>
        <v/>
      </c>
      <c r="C133" s="13">
        <f>IF(COUNT(ABC!$B$8:$B$507)=0,0,SUMIF(ABC!$D$8:$D$507,"&lt;="&amp;MIN(A133,COUNT(ABC!$B$8:$B$507)),ABC!$B$8:$B$507)/SUM(ABC!$B$8:$B$507))</f>
        <v/>
      </c>
    </row>
    <row r="134">
      <c r="A134" t="n">
        <v>131</v>
      </c>
      <c r="B134" s="13">
        <f>IF(COUNT(ABC!$B$8:$B$507)=0,0,MIN(A134,COUNT(ABC!$B$8:$B$507))/COUNT(ABC!$B$8:$B$507))</f>
        <v/>
      </c>
      <c r="C134" s="13">
        <f>IF(COUNT(ABC!$B$8:$B$507)=0,0,SUMIF(ABC!$D$8:$D$507,"&lt;="&amp;MIN(A134,COUNT(ABC!$B$8:$B$507)),ABC!$B$8:$B$507)/SUM(ABC!$B$8:$B$507))</f>
        <v/>
      </c>
    </row>
    <row r="135">
      <c r="A135" t="n">
        <v>132</v>
      </c>
      <c r="B135" s="13">
        <f>IF(COUNT(ABC!$B$8:$B$507)=0,0,MIN(A135,COUNT(ABC!$B$8:$B$507))/COUNT(ABC!$B$8:$B$507))</f>
        <v/>
      </c>
      <c r="C135" s="13">
        <f>IF(COUNT(ABC!$B$8:$B$507)=0,0,SUMIF(ABC!$D$8:$D$507,"&lt;="&amp;MIN(A135,COUNT(ABC!$B$8:$B$507)),ABC!$B$8:$B$507)/SUM(ABC!$B$8:$B$507))</f>
        <v/>
      </c>
    </row>
    <row r="136">
      <c r="A136" t="n">
        <v>133</v>
      </c>
      <c r="B136" s="13">
        <f>IF(COUNT(ABC!$B$8:$B$507)=0,0,MIN(A136,COUNT(ABC!$B$8:$B$507))/COUNT(ABC!$B$8:$B$507))</f>
        <v/>
      </c>
      <c r="C136" s="13">
        <f>IF(COUNT(ABC!$B$8:$B$507)=0,0,SUMIF(ABC!$D$8:$D$507,"&lt;="&amp;MIN(A136,COUNT(ABC!$B$8:$B$507)),ABC!$B$8:$B$507)/SUM(ABC!$B$8:$B$507))</f>
        <v/>
      </c>
    </row>
    <row r="137">
      <c r="A137" t="n">
        <v>134</v>
      </c>
      <c r="B137" s="13">
        <f>IF(COUNT(ABC!$B$8:$B$507)=0,0,MIN(A137,COUNT(ABC!$B$8:$B$507))/COUNT(ABC!$B$8:$B$507))</f>
        <v/>
      </c>
      <c r="C137" s="13">
        <f>IF(COUNT(ABC!$B$8:$B$507)=0,0,SUMIF(ABC!$D$8:$D$507,"&lt;="&amp;MIN(A137,COUNT(ABC!$B$8:$B$507)),ABC!$B$8:$B$507)/SUM(ABC!$B$8:$B$507))</f>
        <v/>
      </c>
    </row>
    <row r="138">
      <c r="A138" t="n">
        <v>135</v>
      </c>
      <c r="B138" s="13">
        <f>IF(COUNT(ABC!$B$8:$B$507)=0,0,MIN(A138,COUNT(ABC!$B$8:$B$507))/COUNT(ABC!$B$8:$B$507))</f>
        <v/>
      </c>
      <c r="C138" s="13">
        <f>IF(COUNT(ABC!$B$8:$B$507)=0,0,SUMIF(ABC!$D$8:$D$507,"&lt;="&amp;MIN(A138,COUNT(ABC!$B$8:$B$507)),ABC!$B$8:$B$507)/SUM(ABC!$B$8:$B$507))</f>
        <v/>
      </c>
    </row>
    <row r="139">
      <c r="A139" t="n">
        <v>136</v>
      </c>
      <c r="B139" s="13">
        <f>IF(COUNT(ABC!$B$8:$B$507)=0,0,MIN(A139,COUNT(ABC!$B$8:$B$507))/COUNT(ABC!$B$8:$B$507))</f>
        <v/>
      </c>
      <c r="C139" s="13">
        <f>IF(COUNT(ABC!$B$8:$B$507)=0,0,SUMIF(ABC!$D$8:$D$507,"&lt;="&amp;MIN(A139,COUNT(ABC!$B$8:$B$507)),ABC!$B$8:$B$507)/SUM(ABC!$B$8:$B$507))</f>
        <v/>
      </c>
    </row>
    <row r="140">
      <c r="A140" t="n">
        <v>137</v>
      </c>
      <c r="B140" s="13">
        <f>IF(COUNT(ABC!$B$8:$B$507)=0,0,MIN(A140,COUNT(ABC!$B$8:$B$507))/COUNT(ABC!$B$8:$B$507))</f>
        <v/>
      </c>
      <c r="C140" s="13">
        <f>IF(COUNT(ABC!$B$8:$B$507)=0,0,SUMIF(ABC!$D$8:$D$507,"&lt;="&amp;MIN(A140,COUNT(ABC!$B$8:$B$507)),ABC!$B$8:$B$507)/SUM(ABC!$B$8:$B$507))</f>
        <v/>
      </c>
    </row>
    <row r="141">
      <c r="A141" t="n">
        <v>138</v>
      </c>
      <c r="B141" s="13">
        <f>IF(COUNT(ABC!$B$8:$B$507)=0,0,MIN(A141,COUNT(ABC!$B$8:$B$507))/COUNT(ABC!$B$8:$B$507))</f>
        <v/>
      </c>
      <c r="C141" s="13">
        <f>IF(COUNT(ABC!$B$8:$B$507)=0,0,SUMIF(ABC!$D$8:$D$507,"&lt;="&amp;MIN(A141,COUNT(ABC!$B$8:$B$507)),ABC!$B$8:$B$507)/SUM(ABC!$B$8:$B$507))</f>
        <v/>
      </c>
    </row>
    <row r="142">
      <c r="A142" t="n">
        <v>139</v>
      </c>
      <c r="B142" s="13">
        <f>IF(COUNT(ABC!$B$8:$B$507)=0,0,MIN(A142,COUNT(ABC!$B$8:$B$507))/COUNT(ABC!$B$8:$B$507))</f>
        <v/>
      </c>
      <c r="C142" s="13">
        <f>IF(COUNT(ABC!$B$8:$B$507)=0,0,SUMIF(ABC!$D$8:$D$507,"&lt;="&amp;MIN(A142,COUNT(ABC!$B$8:$B$507)),ABC!$B$8:$B$507)/SUM(ABC!$B$8:$B$507))</f>
        <v/>
      </c>
    </row>
    <row r="143">
      <c r="A143" t="n">
        <v>140</v>
      </c>
      <c r="B143" s="13">
        <f>IF(COUNT(ABC!$B$8:$B$507)=0,0,MIN(A143,COUNT(ABC!$B$8:$B$507))/COUNT(ABC!$B$8:$B$507))</f>
        <v/>
      </c>
      <c r="C143" s="13">
        <f>IF(COUNT(ABC!$B$8:$B$507)=0,0,SUMIF(ABC!$D$8:$D$507,"&lt;="&amp;MIN(A143,COUNT(ABC!$B$8:$B$507)),ABC!$B$8:$B$507)/SUM(ABC!$B$8:$B$507))</f>
        <v/>
      </c>
    </row>
    <row r="144">
      <c r="A144" t="n">
        <v>141</v>
      </c>
      <c r="B144" s="13">
        <f>IF(COUNT(ABC!$B$8:$B$507)=0,0,MIN(A144,COUNT(ABC!$B$8:$B$507))/COUNT(ABC!$B$8:$B$507))</f>
        <v/>
      </c>
      <c r="C144" s="13">
        <f>IF(COUNT(ABC!$B$8:$B$507)=0,0,SUMIF(ABC!$D$8:$D$507,"&lt;="&amp;MIN(A144,COUNT(ABC!$B$8:$B$507)),ABC!$B$8:$B$507)/SUM(ABC!$B$8:$B$507))</f>
        <v/>
      </c>
    </row>
    <row r="145">
      <c r="A145" t="n">
        <v>142</v>
      </c>
      <c r="B145" s="13">
        <f>IF(COUNT(ABC!$B$8:$B$507)=0,0,MIN(A145,COUNT(ABC!$B$8:$B$507))/COUNT(ABC!$B$8:$B$507))</f>
        <v/>
      </c>
      <c r="C145" s="13">
        <f>IF(COUNT(ABC!$B$8:$B$507)=0,0,SUMIF(ABC!$D$8:$D$507,"&lt;="&amp;MIN(A145,COUNT(ABC!$B$8:$B$507)),ABC!$B$8:$B$507)/SUM(ABC!$B$8:$B$507))</f>
        <v/>
      </c>
    </row>
    <row r="146">
      <c r="A146" t="n">
        <v>143</v>
      </c>
      <c r="B146" s="13">
        <f>IF(COUNT(ABC!$B$8:$B$507)=0,0,MIN(A146,COUNT(ABC!$B$8:$B$507))/COUNT(ABC!$B$8:$B$507))</f>
        <v/>
      </c>
      <c r="C146" s="13">
        <f>IF(COUNT(ABC!$B$8:$B$507)=0,0,SUMIF(ABC!$D$8:$D$507,"&lt;="&amp;MIN(A146,COUNT(ABC!$B$8:$B$507)),ABC!$B$8:$B$507)/SUM(ABC!$B$8:$B$507))</f>
        <v/>
      </c>
    </row>
    <row r="147">
      <c r="A147" t="n">
        <v>144</v>
      </c>
      <c r="B147" s="13">
        <f>IF(COUNT(ABC!$B$8:$B$507)=0,0,MIN(A147,COUNT(ABC!$B$8:$B$507))/COUNT(ABC!$B$8:$B$507))</f>
        <v/>
      </c>
      <c r="C147" s="13">
        <f>IF(COUNT(ABC!$B$8:$B$507)=0,0,SUMIF(ABC!$D$8:$D$507,"&lt;="&amp;MIN(A147,COUNT(ABC!$B$8:$B$507)),ABC!$B$8:$B$507)/SUM(ABC!$B$8:$B$507))</f>
        <v/>
      </c>
    </row>
    <row r="148">
      <c r="A148" t="n">
        <v>145</v>
      </c>
      <c r="B148" s="13">
        <f>IF(COUNT(ABC!$B$8:$B$507)=0,0,MIN(A148,COUNT(ABC!$B$8:$B$507))/COUNT(ABC!$B$8:$B$507))</f>
        <v/>
      </c>
      <c r="C148" s="13">
        <f>IF(COUNT(ABC!$B$8:$B$507)=0,0,SUMIF(ABC!$D$8:$D$507,"&lt;="&amp;MIN(A148,COUNT(ABC!$B$8:$B$507)),ABC!$B$8:$B$507)/SUM(ABC!$B$8:$B$507))</f>
        <v/>
      </c>
    </row>
    <row r="149">
      <c r="A149" t="n">
        <v>146</v>
      </c>
      <c r="B149" s="13">
        <f>IF(COUNT(ABC!$B$8:$B$507)=0,0,MIN(A149,COUNT(ABC!$B$8:$B$507))/COUNT(ABC!$B$8:$B$507))</f>
        <v/>
      </c>
      <c r="C149" s="13">
        <f>IF(COUNT(ABC!$B$8:$B$507)=0,0,SUMIF(ABC!$D$8:$D$507,"&lt;="&amp;MIN(A149,COUNT(ABC!$B$8:$B$507)),ABC!$B$8:$B$507)/SUM(ABC!$B$8:$B$507))</f>
        <v/>
      </c>
    </row>
    <row r="150">
      <c r="A150" t="n">
        <v>147</v>
      </c>
      <c r="B150" s="13">
        <f>IF(COUNT(ABC!$B$8:$B$507)=0,0,MIN(A150,COUNT(ABC!$B$8:$B$507))/COUNT(ABC!$B$8:$B$507))</f>
        <v/>
      </c>
      <c r="C150" s="13">
        <f>IF(COUNT(ABC!$B$8:$B$507)=0,0,SUMIF(ABC!$D$8:$D$507,"&lt;="&amp;MIN(A150,COUNT(ABC!$B$8:$B$507)),ABC!$B$8:$B$507)/SUM(ABC!$B$8:$B$507))</f>
        <v/>
      </c>
    </row>
    <row r="151">
      <c r="A151" t="n">
        <v>148</v>
      </c>
      <c r="B151" s="13">
        <f>IF(COUNT(ABC!$B$8:$B$507)=0,0,MIN(A151,COUNT(ABC!$B$8:$B$507))/COUNT(ABC!$B$8:$B$507))</f>
        <v/>
      </c>
      <c r="C151" s="13">
        <f>IF(COUNT(ABC!$B$8:$B$507)=0,0,SUMIF(ABC!$D$8:$D$507,"&lt;="&amp;MIN(A151,COUNT(ABC!$B$8:$B$507)),ABC!$B$8:$B$507)/SUM(ABC!$B$8:$B$507))</f>
        <v/>
      </c>
    </row>
    <row r="152">
      <c r="A152" t="n">
        <v>149</v>
      </c>
      <c r="B152" s="13">
        <f>IF(COUNT(ABC!$B$8:$B$507)=0,0,MIN(A152,COUNT(ABC!$B$8:$B$507))/COUNT(ABC!$B$8:$B$507))</f>
        <v/>
      </c>
      <c r="C152" s="13">
        <f>IF(COUNT(ABC!$B$8:$B$507)=0,0,SUMIF(ABC!$D$8:$D$507,"&lt;="&amp;MIN(A152,COUNT(ABC!$B$8:$B$507)),ABC!$B$8:$B$507)/SUM(ABC!$B$8:$B$507))</f>
        <v/>
      </c>
    </row>
    <row r="153">
      <c r="A153" t="n">
        <v>150</v>
      </c>
      <c r="B153" s="13">
        <f>IF(COUNT(ABC!$B$8:$B$507)=0,0,MIN(A153,COUNT(ABC!$B$8:$B$507))/COUNT(ABC!$B$8:$B$507))</f>
        <v/>
      </c>
      <c r="C153" s="13">
        <f>IF(COUNT(ABC!$B$8:$B$507)=0,0,SUMIF(ABC!$D$8:$D$507,"&lt;="&amp;MIN(A153,COUNT(ABC!$B$8:$B$507)),ABC!$B$8:$B$507)/SUM(ABC!$B$8:$B$507))</f>
        <v/>
      </c>
    </row>
    <row r="154">
      <c r="A154" t="n">
        <v>151</v>
      </c>
      <c r="B154" s="13">
        <f>IF(COUNT(ABC!$B$8:$B$507)=0,0,MIN(A154,COUNT(ABC!$B$8:$B$507))/COUNT(ABC!$B$8:$B$507))</f>
        <v/>
      </c>
      <c r="C154" s="13">
        <f>IF(COUNT(ABC!$B$8:$B$507)=0,0,SUMIF(ABC!$D$8:$D$507,"&lt;="&amp;MIN(A154,COUNT(ABC!$B$8:$B$507)),ABC!$B$8:$B$507)/SUM(ABC!$B$8:$B$507))</f>
        <v/>
      </c>
    </row>
    <row r="155">
      <c r="A155" t="n">
        <v>152</v>
      </c>
      <c r="B155" s="13">
        <f>IF(COUNT(ABC!$B$8:$B$507)=0,0,MIN(A155,COUNT(ABC!$B$8:$B$507))/COUNT(ABC!$B$8:$B$507))</f>
        <v/>
      </c>
      <c r="C155" s="13">
        <f>IF(COUNT(ABC!$B$8:$B$507)=0,0,SUMIF(ABC!$D$8:$D$507,"&lt;="&amp;MIN(A155,COUNT(ABC!$B$8:$B$507)),ABC!$B$8:$B$507)/SUM(ABC!$B$8:$B$507))</f>
        <v/>
      </c>
    </row>
    <row r="156">
      <c r="A156" t="n">
        <v>153</v>
      </c>
      <c r="B156" s="13">
        <f>IF(COUNT(ABC!$B$8:$B$507)=0,0,MIN(A156,COUNT(ABC!$B$8:$B$507))/COUNT(ABC!$B$8:$B$507))</f>
        <v/>
      </c>
      <c r="C156" s="13">
        <f>IF(COUNT(ABC!$B$8:$B$507)=0,0,SUMIF(ABC!$D$8:$D$507,"&lt;="&amp;MIN(A156,COUNT(ABC!$B$8:$B$507)),ABC!$B$8:$B$507)/SUM(ABC!$B$8:$B$507))</f>
        <v/>
      </c>
    </row>
    <row r="157">
      <c r="A157" t="n">
        <v>154</v>
      </c>
      <c r="B157" s="13">
        <f>IF(COUNT(ABC!$B$8:$B$507)=0,0,MIN(A157,COUNT(ABC!$B$8:$B$507))/COUNT(ABC!$B$8:$B$507))</f>
        <v/>
      </c>
      <c r="C157" s="13">
        <f>IF(COUNT(ABC!$B$8:$B$507)=0,0,SUMIF(ABC!$D$8:$D$507,"&lt;="&amp;MIN(A157,COUNT(ABC!$B$8:$B$507)),ABC!$B$8:$B$507)/SUM(ABC!$B$8:$B$507))</f>
        <v/>
      </c>
    </row>
    <row r="158">
      <c r="A158" t="n">
        <v>155</v>
      </c>
      <c r="B158" s="13">
        <f>IF(COUNT(ABC!$B$8:$B$507)=0,0,MIN(A158,COUNT(ABC!$B$8:$B$507))/COUNT(ABC!$B$8:$B$507))</f>
        <v/>
      </c>
      <c r="C158" s="13">
        <f>IF(COUNT(ABC!$B$8:$B$507)=0,0,SUMIF(ABC!$D$8:$D$507,"&lt;="&amp;MIN(A158,COUNT(ABC!$B$8:$B$507)),ABC!$B$8:$B$507)/SUM(ABC!$B$8:$B$507))</f>
        <v/>
      </c>
    </row>
    <row r="159">
      <c r="A159" t="n">
        <v>156</v>
      </c>
      <c r="B159" s="13">
        <f>IF(COUNT(ABC!$B$8:$B$507)=0,0,MIN(A159,COUNT(ABC!$B$8:$B$507))/COUNT(ABC!$B$8:$B$507))</f>
        <v/>
      </c>
      <c r="C159" s="13">
        <f>IF(COUNT(ABC!$B$8:$B$507)=0,0,SUMIF(ABC!$D$8:$D$507,"&lt;="&amp;MIN(A159,COUNT(ABC!$B$8:$B$507)),ABC!$B$8:$B$507)/SUM(ABC!$B$8:$B$507))</f>
        <v/>
      </c>
    </row>
    <row r="160">
      <c r="A160" t="n">
        <v>157</v>
      </c>
      <c r="B160" s="13">
        <f>IF(COUNT(ABC!$B$8:$B$507)=0,0,MIN(A160,COUNT(ABC!$B$8:$B$507))/COUNT(ABC!$B$8:$B$507))</f>
        <v/>
      </c>
      <c r="C160" s="13">
        <f>IF(COUNT(ABC!$B$8:$B$507)=0,0,SUMIF(ABC!$D$8:$D$507,"&lt;="&amp;MIN(A160,COUNT(ABC!$B$8:$B$507)),ABC!$B$8:$B$507)/SUM(ABC!$B$8:$B$507))</f>
        <v/>
      </c>
    </row>
    <row r="161">
      <c r="A161" t="n">
        <v>158</v>
      </c>
      <c r="B161" s="13">
        <f>IF(COUNT(ABC!$B$8:$B$507)=0,0,MIN(A161,COUNT(ABC!$B$8:$B$507))/COUNT(ABC!$B$8:$B$507))</f>
        <v/>
      </c>
      <c r="C161" s="13">
        <f>IF(COUNT(ABC!$B$8:$B$507)=0,0,SUMIF(ABC!$D$8:$D$507,"&lt;="&amp;MIN(A161,COUNT(ABC!$B$8:$B$507)),ABC!$B$8:$B$507)/SUM(ABC!$B$8:$B$507))</f>
        <v/>
      </c>
    </row>
    <row r="162">
      <c r="A162" t="n">
        <v>159</v>
      </c>
      <c r="B162" s="13">
        <f>IF(COUNT(ABC!$B$8:$B$507)=0,0,MIN(A162,COUNT(ABC!$B$8:$B$507))/COUNT(ABC!$B$8:$B$507))</f>
        <v/>
      </c>
      <c r="C162" s="13">
        <f>IF(COUNT(ABC!$B$8:$B$507)=0,0,SUMIF(ABC!$D$8:$D$507,"&lt;="&amp;MIN(A162,COUNT(ABC!$B$8:$B$507)),ABC!$B$8:$B$507)/SUM(ABC!$B$8:$B$507))</f>
        <v/>
      </c>
    </row>
    <row r="163">
      <c r="A163" t="n">
        <v>160</v>
      </c>
      <c r="B163" s="13">
        <f>IF(COUNT(ABC!$B$8:$B$507)=0,0,MIN(A163,COUNT(ABC!$B$8:$B$507))/COUNT(ABC!$B$8:$B$507))</f>
        <v/>
      </c>
      <c r="C163" s="13">
        <f>IF(COUNT(ABC!$B$8:$B$507)=0,0,SUMIF(ABC!$D$8:$D$507,"&lt;="&amp;MIN(A163,COUNT(ABC!$B$8:$B$507)),ABC!$B$8:$B$507)/SUM(ABC!$B$8:$B$507))</f>
        <v/>
      </c>
    </row>
    <row r="164">
      <c r="A164" t="n">
        <v>161</v>
      </c>
      <c r="B164" s="13">
        <f>IF(COUNT(ABC!$B$8:$B$507)=0,0,MIN(A164,COUNT(ABC!$B$8:$B$507))/COUNT(ABC!$B$8:$B$507))</f>
        <v/>
      </c>
      <c r="C164" s="13">
        <f>IF(COUNT(ABC!$B$8:$B$507)=0,0,SUMIF(ABC!$D$8:$D$507,"&lt;="&amp;MIN(A164,COUNT(ABC!$B$8:$B$507)),ABC!$B$8:$B$507)/SUM(ABC!$B$8:$B$507))</f>
        <v/>
      </c>
    </row>
    <row r="165">
      <c r="A165" t="n">
        <v>162</v>
      </c>
      <c r="B165" s="13">
        <f>IF(COUNT(ABC!$B$8:$B$507)=0,0,MIN(A165,COUNT(ABC!$B$8:$B$507))/COUNT(ABC!$B$8:$B$507))</f>
        <v/>
      </c>
      <c r="C165" s="13">
        <f>IF(COUNT(ABC!$B$8:$B$507)=0,0,SUMIF(ABC!$D$8:$D$507,"&lt;="&amp;MIN(A165,COUNT(ABC!$B$8:$B$507)),ABC!$B$8:$B$507)/SUM(ABC!$B$8:$B$507))</f>
        <v/>
      </c>
    </row>
    <row r="166">
      <c r="A166" t="n">
        <v>163</v>
      </c>
      <c r="B166" s="13">
        <f>IF(COUNT(ABC!$B$8:$B$507)=0,0,MIN(A166,COUNT(ABC!$B$8:$B$507))/COUNT(ABC!$B$8:$B$507))</f>
        <v/>
      </c>
      <c r="C166" s="13">
        <f>IF(COUNT(ABC!$B$8:$B$507)=0,0,SUMIF(ABC!$D$8:$D$507,"&lt;="&amp;MIN(A166,COUNT(ABC!$B$8:$B$507)),ABC!$B$8:$B$507)/SUM(ABC!$B$8:$B$507))</f>
        <v/>
      </c>
    </row>
    <row r="167">
      <c r="A167" t="n">
        <v>164</v>
      </c>
      <c r="B167" s="13">
        <f>IF(COUNT(ABC!$B$8:$B$507)=0,0,MIN(A167,COUNT(ABC!$B$8:$B$507))/COUNT(ABC!$B$8:$B$507))</f>
        <v/>
      </c>
      <c r="C167" s="13">
        <f>IF(COUNT(ABC!$B$8:$B$507)=0,0,SUMIF(ABC!$D$8:$D$507,"&lt;="&amp;MIN(A167,COUNT(ABC!$B$8:$B$507)),ABC!$B$8:$B$507)/SUM(ABC!$B$8:$B$507))</f>
        <v/>
      </c>
    </row>
    <row r="168">
      <c r="A168" t="n">
        <v>165</v>
      </c>
      <c r="B168" s="13">
        <f>IF(COUNT(ABC!$B$8:$B$507)=0,0,MIN(A168,COUNT(ABC!$B$8:$B$507))/COUNT(ABC!$B$8:$B$507))</f>
        <v/>
      </c>
      <c r="C168" s="13">
        <f>IF(COUNT(ABC!$B$8:$B$507)=0,0,SUMIF(ABC!$D$8:$D$507,"&lt;="&amp;MIN(A168,COUNT(ABC!$B$8:$B$507)),ABC!$B$8:$B$507)/SUM(ABC!$B$8:$B$507))</f>
        <v/>
      </c>
    </row>
    <row r="169">
      <c r="A169" t="n">
        <v>166</v>
      </c>
      <c r="B169" s="13">
        <f>IF(COUNT(ABC!$B$8:$B$507)=0,0,MIN(A169,COUNT(ABC!$B$8:$B$507))/COUNT(ABC!$B$8:$B$507))</f>
        <v/>
      </c>
      <c r="C169" s="13">
        <f>IF(COUNT(ABC!$B$8:$B$507)=0,0,SUMIF(ABC!$D$8:$D$507,"&lt;="&amp;MIN(A169,COUNT(ABC!$B$8:$B$507)),ABC!$B$8:$B$507)/SUM(ABC!$B$8:$B$507))</f>
        <v/>
      </c>
    </row>
    <row r="170">
      <c r="A170" t="n">
        <v>167</v>
      </c>
      <c r="B170" s="13">
        <f>IF(COUNT(ABC!$B$8:$B$507)=0,0,MIN(A170,COUNT(ABC!$B$8:$B$507))/COUNT(ABC!$B$8:$B$507))</f>
        <v/>
      </c>
      <c r="C170" s="13">
        <f>IF(COUNT(ABC!$B$8:$B$507)=0,0,SUMIF(ABC!$D$8:$D$507,"&lt;="&amp;MIN(A170,COUNT(ABC!$B$8:$B$507)),ABC!$B$8:$B$507)/SUM(ABC!$B$8:$B$507))</f>
        <v/>
      </c>
    </row>
    <row r="171">
      <c r="A171" t="n">
        <v>168</v>
      </c>
      <c r="B171" s="13">
        <f>IF(COUNT(ABC!$B$8:$B$507)=0,0,MIN(A171,COUNT(ABC!$B$8:$B$507))/COUNT(ABC!$B$8:$B$507))</f>
        <v/>
      </c>
      <c r="C171" s="13">
        <f>IF(COUNT(ABC!$B$8:$B$507)=0,0,SUMIF(ABC!$D$8:$D$507,"&lt;="&amp;MIN(A171,COUNT(ABC!$B$8:$B$507)),ABC!$B$8:$B$507)/SUM(ABC!$B$8:$B$507))</f>
        <v/>
      </c>
    </row>
    <row r="172">
      <c r="A172" t="n">
        <v>169</v>
      </c>
      <c r="B172" s="13">
        <f>IF(COUNT(ABC!$B$8:$B$507)=0,0,MIN(A172,COUNT(ABC!$B$8:$B$507))/COUNT(ABC!$B$8:$B$507))</f>
        <v/>
      </c>
      <c r="C172" s="13">
        <f>IF(COUNT(ABC!$B$8:$B$507)=0,0,SUMIF(ABC!$D$8:$D$507,"&lt;="&amp;MIN(A172,COUNT(ABC!$B$8:$B$507)),ABC!$B$8:$B$507)/SUM(ABC!$B$8:$B$507))</f>
        <v/>
      </c>
    </row>
    <row r="173">
      <c r="A173" t="n">
        <v>170</v>
      </c>
      <c r="B173" s="13">
        <f>IF(COUNT(ABC!$B$8:$B$507)=0,0,MIN(A173,COUNT(ABC!$B$8:$B$507))/COUNT(ABC!$B$8:$B$507))</f>
        <v/>
      </c>
      <c r="C173" s="13">
        <f>IF(COUNT(ABC!$B$8:$B$507)=0,0,SUMIF(ABC!$D$8:$D$507,"&lt;="&amp;MIN(A173,COUNT(ABC!$B$8:$B$507)),ABC!$B$8:$B$507)/SUM(ABC!$B$8:$B$507))</f>
        <v/>
      </c>
    </row>
    <row r="174">
      <c r="A174" t="n">
        <v>171</v>
      </c>
      <c r="B174" s="13">
        <f>IF(COUNT(ABC!$B$8:$B$507)=0,0,MIN(A174,COUNT(ABC!$B$8:$B$507))/COUNT(ABC!$B$8:$B$507))</f>
        <v/>
      </c>
      <c r="C174" s="13">
        <f>IF(COUNT(ABC!$B$8:$B$507)=0,0,SUMIF(ABC!$D$8:$D$507,"&lt;="&amp;MIN(A174,COUNT(ABC!$B$8:$B$507)),ABC!$B$8:$B$507)/SUM(ABC!$B$8:$B$507))</f>
        <v/>
      </c>
    </row>
    <row r="175">
      <c r="A175" t="n">
        <v>172</v>
      </c>
      <c r="B175" s="13">
        <f>IF(COUNT(ABC!$B$8:$B$507)=0,0,MIN(A175,COUNT(ABC!$B$8:$B$507))/COUNT(ABC!$B$8:$B$507))</f>
        <v/>
      </c>
      <c r="C175" s="13">
        <f>IF(COUNT(ABC!$B$8:$B$507)=0,0,SUMIF(ABC!$D$8:$D$507,"&lt;="&amp;MIN(A175,COUNT(ABC!$B$8:$B$507)),ABC!$B$8:$B$507)/SUM(ABC!$B$8:$B$507))</f>
        <v/>
      </c>
    </row>
    <row r="176">
      <c r="A176" t="n">
        <v>173</v>
      </c>
      <c r="B176" s="13">
        <f>IF(COUNT(ABC!$B$8:$B$507)=0,0,MIN(A176,COUNT(ABC!$B$8:$B$507))/COUNT(ABC!$B$8:$B$507))</f>
        <v/>
      </c>
      <c r="C176" s="13">
        <f>IF(COUNT(ABC!$B$8:$B$507)=0,0,SUMIF(ABC!$D$8:$D$507,"&lt;="&amp;MIN(A176,COUNT(ABC!$B$8:$B$507)),ABC!$B$8:$B$507)/SUM(ABC!$B$8:$B$507))</f>
        <v/>
      </c>
    </row>
    <row r="177">
      <c r="A177" t="n">
        <v>174</v>
      </c>
      <c r="B177" s="13">
        <f>IF(COUNT(ABC!$B$8:$B$507)=0,0,MIN(A177,COUNT(ABC!$B$8:$B$507))/COUNT(ABC!$B$8:$B$507))</f>
        <v/>
      </c>
      <c r="C177" s="13">
        <f>IF(COUNT(ABC!$B$8:$B$507)=0,0,SUMIF(ABC!$D$8:$D$507,"&lt;="&amp;MIN(A177,COUNT(ABC!$B$8:$B$507)),ABC!$B$8:$B$507)/SUM(ABC!$B$8:$B$507))</f>
        <v/>
      </c>
    </row>
    <row r="178">
      <c r="A178" t="n">
        <v>175</v>
      </c>
      <c r="B178" s="13">
        <f>IF(COUNT(ABC!$B$8:$B$507)=0,0,MIN(A178,COUNT(ABC!$B$8:$B$507))/COUNT(ABC!$B$8:$B$507))</f>
        <v/>
      </c>
      <c r="C178" s="13">
        <f>IF(COUNT(ABC!$B$8:$B$507)=0,0,SUMIF(ABC!$D$8:$D$507,"&lt;="&amp;MIN(A178,COUNT(ABC!$B$8:$B$507)),ABC!$B$8:$B$507)/SUM(ABC!$B$8:$B$507))</f>
        <v/>
      </c>
    </row>
    <row r="179">
      <c r="A179" t="n">
        <v>176</v>
      </c>
      <c r="B179" s="13">
        <f>IF(COUNT(ABC!$B$8:$B$507)=0,0,MIN(A179,COUNT(ABC!$B$8:$B$507))/COUNT(ABC!$B$8:$B$507))</f>
        <v/>
      </c>
      <c r="C179" s="13">
        <f>IF(COUNT(ABC!$B$8:$B$507)=0,0,SUMIF(ABC!$D$8:$D$507,"&lt;="&amp;MIN(A179,COUNT(ABC!$B$8:$B$507)),ABC!$B$8:$B$507)/SUM(ABC!$B$8:$B$507))</f>
        <v/>
      </c>
    </row>
    <row r="180">
      <c r="A180" t="n">
        <v>177</v>
      </c>
      <c r="B180" s="13">
        <f>IF(COUNT(ABC!$B$8:$B$507)=0,0,MIN(A180,COUNT(ABC!$B$8:$B$507))/COUNT(ABC!$B$8:$B$507))</f>
        <v/>
      </c>
      <c r="C180" s="13">
        <f>IF(COUNT(ABC!$B$8:$B$507)=0,0,SUMIF(ABC!$D$8:$D$507,"&lt;="&amp;MIN(A180,COUNT(ABC!$B$8:$B$507)),ABC!$B$8:$B$507)/SUM(ABC!$B$8:$B$507))</f>
        <v/>
      </c>
    </row>
    <row r="181">
      <c r="A181" t="n">
        <v>178</v>
      </c>
      <c r="B181" s="13">
        <f>IF(COUNT(ABC!$B$8:$B$507)=0,0,MIN(A181,COUNT(ABC!$B$8:$B$507))/COUNT(ABC!$B$8:$B$507))</f>
        <v/>
      </c>
      <c r="C181" s="13">
        <f>IF(COUNT(ABC!$B$8:$B$507)=0,0,SUMIF(ABC!$D$8:$D$507,"&lt;="&amp;MIN(A181,COUNT(ABC!$B$8:$B$507)),ABC!$B$8:$B$507)/SUM(ABC!$B$8:$B$507))</f>
        <v/>
      </c>
    </row>
    <row r="182">
      <c r="A182" t="n">
        <v>179</v>
      </c>
      <c r="B182" s="13">
        <f>IF(COUNT(ABC!$B$8:$B$507)=0,0,MIN(A182,COUNT(ABC!$B$8:$B$507))/COUNT(ABC!$B$8:$B$507))</f>
        <v/>
      </c>
      <c r="C182" s="13">
        <f>IF(COUNT(ABC!$B$8:$B$507)=0,0,SUMIF(ABC!$D$8:$D$507,"&lt;="&amp;MIN(A182,COUNT(ABC!$B$8:$B$507)),ABC!$B$8:$B$507)/SUM(ABC!$B$8:$B$507))</f>
        <v/>
      </c>
    </row>
    <row r="183">
      <c r="A183" t="n">
        <v>180</v>
      </c>
      <c r="B183" s="13">
        <f>IF(COUNT(ABC!$B$8:$B$507)=0,0,MIN(A183,COUNT(ABC!$B$8:$B$507))/COUNT(ABC!$B$8:$B$507))</f>
        <v/>
      </c>
      <c r="C183" s="13">
        <f>IF(COUNT(ABC!$B$8:$B$507)=0,0,SUMIF(ABC!$D$8:$D$507,"&lt;="&amp;MIN(A183,COUNT(ABC!$B$8:$B$507)),ABC!$B$8:$B$507)/SUM(ABC!$B$8:$B$507))</f>
        <v/>
      </c>
    </row>
    <row r="184">
      <c r="A184" t="n">
        <v>181</v>
      </c>
      <c r="B184" s="13">
        <f>IF(COUNT(ABC!$B$8:$B$507)=0,0,MIN(A184,COUNT(ABC!$B$8:$B$507))/COUNT(ABC!$B$8:$B$507))</f>
        <v/>
      </c>
      <c r="C184" s="13">
        <f>IF(COUNT(ABC!$B$8:$B$507)=0,0,SUMIF(ABC!$D$8:$D$507,"&lt;="&amp;MIN(A184,COUNT(ABC!$B$8:$B$507)),ABC!$B$8:$B$507)/SUM(ABC!$B$8:$B$507))</f>
        <v/>
      </c>
    </row>
    <row r="185">
      <c r="A185" t="n">
        <v>182</v>
      </c>
      <c r="B185" s="13">
        <f>IF(COUNT(ABC!$B$8:$B$507)=0,0,MIN(A185,COUNT(ABC!$B$8:$B$507))/COUNT(ABC!$B$8:$B$507))</f>
        <v/>
      </c>
      <c r="C185" s="13">
        <f>IF(COUNT(ABC!$B$8:$B$507)=0,0,SUMIF(ABC!$D$8:$D$507,"&lt;="&amp;MIN(A185,COUNT(ABC!$B$8:$B$507)),ABC!$B$8:$B$507)/SUM(ABC!$B$8:$B$507))</f>
        <v/>
      </c>
    </row>
    <row r="186">
      <c r="A186" t="n">
        <v>183</v>
      </c>
      <c r="B186" s="13">
        <f>IF(COUNT(ABC!$B$8:$B$507)=0,0,MIN(A186,COUNT(ABC!$B$8:$B$507))/COUNT(ABC!$B$8:$B$507))</f>
        <v/>
      </c>
      <c r="C186" s="13">
        <f>IF(COUNT(ABC!$B$8:$B$507)=0,0,SUMIF(ABC!$D$8:$D$507,"&lt;="&amp;MIN(A186,COUNT(ABC!$B$8:$B$507)),ABC!$B$8:$B$507)/SUM(ABC!$B$8:$B$507))</f>
        <v/>
      </c>
    </row>
    <row r="187">
      <c r="A187" t="n">
        <v>184</v>
      </c>
      <c r="B187" s="13">
        <f>IF(COUNT(ABC!$B$8:$B$507)=0,0,MIN(A187,COUNT(ABC!$B$8:$B$507))/COUNT(ABC!$B$8:$B$507))</f>
        <v/>
      </c>
      <c r="C187" s="13">
        <f>IF(COUNT(ABC!$B$8:$B$507)=0,0,SUMIF(ABC!$D$8:$D$507,"&lt;="&amp;MIN(A187,COUNT(ABC!$B$8:$B$507)),ABC!$B$8:$B$507)/SUM(ABC!$B$8:$B$507))</f>
        <v/>
      </c>
    </row>
    <row r="188">
      <c r="A188" t="n">
        <v>185</v>
      </c>
      <c r="B188" s="13">
        <f>IF(COUNT(ABC!$B$8:$B$507)=0,0,MIN(A188,COUNT(ABC!$B$8:$B$507))/COUNT(ABC!$B$8:$B$507))</f>
        <v/>
      </c>
      <c r="C188" s="13">
        <f>IF(COUNT(ABC!$B$8:$B$507)=0,0,SUMIF(ABC!$D$8:$D$507,"&lt;="&amp;MIN(A188,COUNT(ABC!$B$8:$B$507)),ABC!$B$8:$B$507)/SUM(ABC!$B$8:$B$507))</f>
        <v/>
      </c>
    </row>
    <row r="189">
      <c r="A189" t="n">
        <v>186</v>
      </c>
      <c r="B189" s="13">
        <f>IF(COUNT(ABC!$B$8:$B$507)=0,0,MIN(A189,COUNT(ABC!$B$8:$B$507))/COUNT(ABC!$B$8:$B$507))</f>
        <v/>
      </c>
      <c r="C189" s="13">
        <f>IF(COUNT(ABC!$B$8:$B$507)=0,0,SUMIF(ABC!$D$8:$D$507,"&lt;="&amp;MIN(A189,COUNT(ABC!$B$8:$B$507)),ABC!$B$8:$B$507)/SUM(ABC!$B$8:$B$507))</f>
        <v/>
      </c>
    </row>
    <row r="190">
      <c r="A190" t="n">
        <v>187</v>
      </c>
      <c r="B190" s="13">
        <f>IF(COUNT(ABC!$B$8:$B$507)=0,0,MIN(A190,COUNT(ABC!$B$8:$B$507))/COUNT(ABC!$B$8:$B$507))</f>
        <v/>
      </c>
      <c r="C190" s="13">
        <f>IF(COUNT(ABC!$B$8:$B$507)=0,0,SUMIF(ABC!$D$8:$D$507,"&lt;="&amp;MIN(A190,COUNT(ABC!$B$8:$B$507)),ABC!$B$8:$B$507)/SUM(ABC!$B$8:$B$507))</f>
        <v/>
      </c>
    </row>
    <row r="191">
      <c r="A191" t="n">
        <v>188</v>
      </c>
      <c r="B191" s="13">
        <f>IF(COUNT(ABC!$B$8:$B$507)=0,0,MIN(A191,COUNT(ABC!$B$8:$B$507))/COUNT(ABC!$B$8:$B$507))</f>
        <v/>
      </c>
      <c r="C191" s="13">
        <f>IF(COUNT(ABC!$B$8:$B$507)=0,0,SUMIF(ABC!$D$8:$D$507,"&lt;="&amp;MIN(A191,COUNT(ABC!$B$8:$B$507)),ABC!$B$8:$B$507)/SUM(ABC!$B$8:$B$507))</f>
        <v/>
      </c>
    </row>
    <row r="192">
      <c r="A192" t="n">
        <v>189</v>
      </c>
      <c r="B192" s="13">
        <f>IF(COUNT(ABC!$B$8:$B$507)=0,0,MIN(A192,COUNT(ABC!$B$8:$B$507))/COUNT(ABC!$B$8:$B$507))</f>
        <v/>
      </c>
      <c r="C192" s="13">
        <f>IF(COUNT(ABC!$B$8:$B$507)=0,0,SUMIF(ABC!$D$8:$D$507,"&lt;="&amp;MIN(A192,COUNT(ABC!$B$8:$B$507)),ABC!$B$8:$B$507)/SUM(ABC!$B$8:$B$507))</f>
        <v/>
      </c>
    </row>
    <row r="193">
      <c r="A193" t="n">
        <v>190</v>
      </c>
      <c r="B193" s="13">
        <f>IF(COUNT(ABC!$B$8:$B$507)=0,0,MIN(A193,COUNT(ABC!$B$8:$B$507))/COUNT(ABC!$B$8:$B$507))</f>
        <v/>
      </c>
      <c r="C193" s="13">
        <f>IF(COUNT(ABC!$B$8:$B$507)=0,0,SUMIF(ABC!$D$8:$D$507,"&lt;="&amp;MIN(A193,COUNT(ABC!$B$8:$B$507)),ABC!$B$8:$B$507)/SUM(ABC!$B$8:$B$507))</f>
        <v/>
      </c>
    </row>
    <row r="194">
      <c r="A194" t="n">
        <v>191</v>
      </c>
      <c r="B194" s="13">
        <f>IF(COUNT(ABC!$B$8:$B$507)=0,0,MIN(A194,COUNT(ABC!$B$8:$B$507))/COUNT(ABC!$B$8:$B$507))</f>
        <v/>
      </c>
      <c r="C194" s="13">
        <f>IF(COUNT(ABC!$B$8:$B$507)=0,0,SUMIF(ABC!$D$8:$D$507,"&lt;="&amp;MIN(A194,COUNT(ABC!$B$8:$B$507)),ABC!$B$8:$B$507)/SUM(ABC!$B$8:$B$507))</f>
        <v/>
      </c>
    </row>
    <row r="195">
      <c r="A195" t="n">
        <v>192</v>
      </c>
      <c r="B195" s="13">
        <f>IF(COUNT(ABC!$B$8:$B$507)=0,0,MIN(A195,COUNT(ABC!$B$8:$B$507))/COUNT(ABC!$B$8:$B$507))</f>
        <v/>
      </c>
      <c r="C195" s="13">
        <f>IF(COUNT(ABC!$B$8:$B$507)=0,0,SUMIF(ABC!$D$8:$D$507,"&lt;="&amp;MIN(A195,COUNT(ABC!$B$8:$B$507)),ABC!$B$8:$B$507)/SUM(ABC!$B$8:$B$507))</f>
        <v/>
      </c>
    </row>
    <row r="196">
      <c r="A196" t="n">
        <v>193</v>
      </c>
      <c r="B196" s="13">
        <f>IF(COUNT(ABC!$B$8:$B$507)=0,0,MIN(A196,COUNT(ABC!$B$8:$B$507))/COUNT(ABC!$B$8:$B$507))</f>
        <v/>
      </c>
      <c r="C196" s="13">
        <f>IF(COUNT(ABC!$B$8:$B$507)=0,0,SUMIF(ABC!$D$8:$D$507,"&lt;="&amp;MIN(A196,COUNT(ABC!$B$8:$B$507)),ABC!$B$8:$B$507)/SUM(ABC!$B$8:$B$507))</f>
        <v/>
      </c>
    </row>
    <row r="197">
      <c r="A197" t="n">
        <v>194</v>
      </c>
      <c r="B197" s="13">
        <f>IF(COUNT(ABC!$B$8:$B$507)=0,0,MIN(A197,COUNT(ABC!$B$8:$B$507))/COUNT(ABC!$B$8:$B$507))</f>
        <v/>
      </c>
      <c r="C197" s="13">
        <f>IF(COUNT(ABC!$B$8:$B$507)=0,0,SUMIF(ABC!$D$8:$D$507,"&lt;="&amp;MIN(A197,COUNT(ABC!$B$8:$B$507)),ABC!$B$8:$B$507)/SUM(ABC!$B$8:$B$507))</f>
        <v/>
      </c>
    </row>
    <row r="198">
      <c r="A198" t="n">
        <v>195</v>
      </c>
      <c r="B198" s="13">
        <f>IF(COUNT(ABC!$B$8:$B$507)=0,0,MIN(A198,COUNT(ABC!$B$8:$B$507))/COUNT(ABC!$B$8:$B$507))</f>
        <v/>
      </c>
      <c r="C198" s="13">
        <f>IF(COUNT(ABC!$B$8:$B$507)=0,0,SUMIF(ABC!$D$8:$D$507,"&lt;="&amp;MIN(A198,COUNT(ABC!$B$8:$B$507)),ABC!$B$8:$B$507)/SUM(ABC!$B$8:$B$507))</f>
        <v/>
      </c>
    </row>
    <row r="199">
      <c r="A199" t="n">
        <v>196</v>
      </c>
      <c r="B199" s="13">
        <f>IF(COUNT(ABC!$B$8:$B$507)=0,0,MIN(A199,COUNT(ABC!$B$8:$B$507))/COUNT(ABC!$B$8:$B$507))</f>
        <v/>
      </c>
      <c r="C199" s="13">
        <f>IF(COUNT(ABC!$B$8:$B$507)=0,0,SUMIF(ABC!$D$8:$D$507,"&lt;="&amp;MIN(A199,COUNT(ABC!$B$8:$B$507)),ABC!$B$8:$B$507)/SUM(ABC!$B$8:$B$507))</f>
        <v/>
      </c>
    </row>
    <row r="200">
      <c r="A200" t="n">
        <v>197</v>
      </c>
      <c r="B200" s="13">
        <f>IF(COUNT(ABC!$B$8:$B$507)=0,0,MIN(A200,COUNT(ABC!$B$8:$B$507))/COUNT(ABC!$B$8:$B$507))</f>
        <v/>
      </c>
      <c r="C200" s="13">
        <f>IF(COUNT(ABC!$B$8:$B$507)=0,0,SUMIF(ABC!$D$8:$D$507,"&lt;="&amp;MIN(A200,COUNT(ABC!$B$8:$B$507)),ABC!$B$8:$B$507)/SUM(ABC!$B$8:$B$507))</f>
        <v/>
      </c>
    </row>
    <row r="201">
      <c r="A201" t="n">
        <v>198</v>
      </c>
      <c r="B201" s="13">
        <f>IF(COUNT(ABC!$B$8:$B$507)=0,0,MIN(A201,COUNT(ABC!$B$8:$B$507))/COUNT(ABC!$B$8:$B$507))</f>
        <v/>
      </c>
      <c r="C201" s="13">
        <f>IF(COUNT(ABC!$B$8:$B$507)=0,0,SUMIF(ABC!$D$8:$D$507,"&lt;="&amp;MIN(A201,COUNT(ABC!$B$8:$B$507)),ABC!$B$8:$B$507)/SUM(ABC!$B$8:$B$507))</f>
        <v/>
      </c>
    </row>
    <row r="202">
      <c r="A202" t="n">
        <v>199</v>
      </c>
      <c r="B202" s="13">
        <f>IF(COUNT(ABC!$B$8:$B$507)=0,0,MIN(A202,COUNT(ABC!$B$8:$B$507))/COUNT(ABC!$B$8:$B$507))</f>
        <v/>
      </c>
      <c r="C202" s="13">
        <f>IF(COUNT(ABC!$B$8:$B$507)=0,0,SUMIF(ABC!$D$8:$D$507,"&lt;="&amp;MIN(A202,COUNT(ABC!$B$8:$B$507)),ABC!$B$8:$B$507)/SUM(ABC!$B$8:$B$507))</f>
        <v/>
      </c>
    </row>
    <row r="203">
      <c r="A203" t="n">
        <v>200</v>
      </c>
      <c r="B203" s="13">
        <f>IF(COUNT(ABC!$B$8:$B$507)=0,0,MIN(A203,COUNT(ABC!$B$8:$B$507))/COUNT(ABC!$B$8:$B$507))</f>
        <v/>
      </c>
      <c r="C203" s="13">
        <f>IF(COUNT(ABC!$B$8:$B$507)=0,0,SUMIF(ABC!$D$8:$D$507,"&lt;="&amp;MIN(A203,COUNT(ABC!$B$8:$B$507)),ABC!$B$8:$B$507)/SUM(ABC!$B$8:$B$507))</f>
        <v/>
      </c>
    </row>
    <row r="204">
      <c r="A204" t="n">
        <v>201</v>
      </c>
      <c r="B204" s="13">
        <f>IF(COUNT(ABC!$B$8:$B$507)=0,0,MIN(A204,COUNT(ABC!$B$8:$B$507))/COUNT(ABC!$B$8:$B$507))</f>
        <v/>
      </c>
      <c r="C204" s="13">
        <f>IF(COUNT(ABC!$B$8:$B$507)=0,0,SUMIF(ABC!$D$8:$D$507,"&lt;="&amp;MIN(A204,COUNT(ABC!$B$8:$B$507)),ABC!$B$8:$B$507)/SUM(ABC!$B$8:$B$507))</f>
        <v/>
      </c>
    </row>
    <row r="205">
      <c r="A205" t="n">
        <v>202</v>
      </c>
      <c r="B205" s="13">
        <f>IF(COUNT(ABC!$B$8:$B$507)=0,0,MIN(A205,COUNT(ABC!$B$8:$B$507))/COUNT(ABC!$B$8:$B$507))</f>
        <v/>
      </c>
      <c r="C205" s="13">
        <f>IF(COUNT(ABC!$B$8:$B$507)=0,0,SUMIF(ABC!$D$8:$D$507,"&lt;="&amp;MIN(A205,COUNT(ABC!$B$8:$B$507)),ABC!$B$8:$B$507)/SUM(ABC!$B$8:$B$507))</f>
        <v/>
      </c>
    </row>
    <row r="206">
      <c r="A206" t="n">
        <v>203</v>
      </c>
      <c r="B206" s="13">
        <f>IF(COUNT(ABC!$B$8:$B$507)=0,0,MIN(A206,COUNT(ABC!$B$8:$B$507))/COUNT(ABC!$B$8:$B$507))</f>
        <v/>
      </c>
      <c r="C206" s="13">
        <f>IF(COUNT(ABC!$B$8:$B$507)=0,0,SUMIF(ABC!$D$8:$D$507,"&lt;="&amp;MIN(A206,COUNT(ABC!$B$8:$B$507)),ABC!$B$8:$B$507)/SUM(ABC!$B$8:$B$507))</f>
        <v/>
      </c>
    </row>
    <row r="207">
      <c r="A207" t="n">
        <v>204</v>
      </c>
      <c r="B207" s="13">
        <f>IF(COUNT(ABC!$B$8:$B$507)=0,0,MIN(A207,COUNT(ABC!$B$8:$B$507))/COUNT(ABC!$B$8:$B$507))</f>
        <v/>
      </c>
      <c r="C207" s="13">
        <f>IF(COUNT(ABC!$B$8:$B$507)=0,0,SUMIF(ABC!$D$8:$D$507,"&lt;="&amp;MIN(A207,COUNT(ABC!$B$8:$B$507)),ABC!$B$8:$B$507)/SUM(ABC!$B$8:$B$507))</f>
        <v/>
      </c>
    </row>
    <row r="208">
      <c r="A208" t="n">
        <v>205</v>
      </c>
      <c r="B208" s="13">
        <f>IF(COUNT(ABC!$B$8:$B$507)=0,0,MIN(A208,COUNT(ABC!$B$8:$B$507))/COUNT(ABC!$B$8:$B$507))</f>
        <v/>
      </c>
      <c r="C208" s="13">
        <f>IF(COUNT(ABC!$B$8:$B$507)=0,0,SUMIF(ABC!$D$8:$D$507,"&lt;="&amp;MIN(A208,COUNT(ABC!$B$8:$B$507)),ABC!$B$8:$B$507)/SUM(ABC!$B$8:$B$507))</f>
        <v/>
      </c>
    </row>
    <row r="209">
      <c r="A209" t="n">
        <v>206</v>
      </c>
      <c r="B209" s="13">
        <f>IF(COUNT(ABC!$B$8:$B$507)=0,0,MIN(A209,COUNT(ABC!$B$8:$B$507))/COUNT(ABC!$B$8:$B$507))</f>
        <v/>
      </c>
      <c r="C209" s="13">
        <f>IF(COUNT(ABC!$B$8:$B$507)=0,0,SUMIF(ABC!$D$8:$D$507,"&lt;="&amp;MIN(A209,COUNT(ABC!$B$8:$B$507)),ABC!$B$8:$B$507)/SUM(ABC!$B$8:$B$507))</f>
        <v/>
      </c>
    </row>
    <row r="210">
      <c r="A210" t="n">
        <v>207</v>
      </c>
      <c r="B210" s="13">
        <f>IF(COUNT(ABC!$B$8:$B$507)=0,0,MIN(A210,COUNT(ABC!$B$8:$B$507))/COUNT(ABC!$B$8:$B$507))</f>
        <v/>
      </c>
      <c r="C210" s="13">
        <f>IF(COUNT(ABC!$B$8:$B$507)=0,0,SUMIF(ABC!$D$8:$D$507,"&lt;="&amp;MIN(A210,COUNT(ABC!$B$8:$B$507)),ABC!$B$8:$B$507)/SUM(ABC!$B$8:$B$507))</f>
        <v/>
      </c>
    </row>
    <row r="211">
      <c r="A211" t="n">
        <v>208</v>
      </c>
      <c r="B211" s="13">
        <f>IF(COUNT(ABC!$B$8:$B$507)=0,0,MIN(A211,COUNT(ABC!$B$8:$B$507))/COUNT(ABC!$B$8:$B$507))</f>
        <v/>
      </c>
      <c r="C211" s="13">
        <f>IF(COUNT(ABC!$B$8:$B$507)=0,0,SUMIF(ABC!$D$8:$D$507,"&lt;="&amp;MIN(A211,COUNT(ABC!$B$8:$B$507)),ABC!$B$8:$B$507)/SUM(ABC!$B$8:$B$507))</f>
        <v/>
      </c>
    </row>
    <row r="212">
      <c r="A212" t="n">
        <v>209</v>
      </c>
      <c r="B212" s="13">
        <f>IF(COUNT(ABC!$B$8:$B$507)=0,0,MIN(A212,COUNT(ABC!$B$8:$B$507))/COUNT(ABC!$B$8:$B$507))</f>
        <v/>
      </c>
      <c r="C212" s="13">
        <f>IF(COUNT(ABC!$B$8:$B$507)=0,0,SUMIF(ABC!$D$8:$D$507,"&lt;="&amp;MIN(A212,COUNT(ABC!$B$8:$B$507)),ABC!$B$8:$B$507)/SUM(ABC!$B$8:$B$507))</f>
        <v/>
      </c>
    </row>
    <row r="213">
      <c r="A213" t="n">
        <v>210</v>
      </c>
      <c r="B213" s="13">
        <f>IF(COUNT(ABC!$B$8:$B$507)=0,0,MIN(A213,COUNT(ABC!$B$8:$B$507))/COUNT(ABC!$B$8:$B$507))</f>
        <v/>
      </c>
      <c r="C213" s="13">
        <f>IF(COUNT(ABC!$B$8:$B$507)=0,0,SUMIF(ABC!$D$8:$D$507,"&lt;="&amp;MIN(A213,COUNT(ABC!$B$8:$B$507)),ABC!$B$8:$B$507)/SUM(ABC!$B$8:$B$507))</f>
        <v/>
      </c>
    </row>
    <row r="214">
      <c r="A214" t="n">
        <v>211</v>
      </c>
      <c r="B214" s="13">
        <f>IF(COUNT(ABC!$B$8:$B$507)=0,0,MIN(A214,COUNT(ABC!$B$8:$B$507))/COUNT(ABC!$B$8:$B$507))</f>
        <v/>
      </c>
      <c r="C214" s="13">
        <f>IF(COUNT(ABC!$B$8:$B$507)=0,0,SUMIF(ABC!$D$8:$D$507,"&lt;="&amp;MIN(A214,COUNT(ABC!$B$8:$B$507)),ABC!$B$8:$B$507)/SUM(ABC!$B$8:$B$507))</f>
        <v/>
      </c>
    </row>
    <row r="215">
      <c r="A215" t="n">
        <v>212</v>
      </c>
      <c r="B215" s="13">
        <f>IF(COUNT(ABC!$B$8:$B$507)=0,0,MIN(A215,COUNT(ABC!$B$8:$B$507))/COUNT(ABC!$B$8:$B$507))</f>
        <v/>
      </c>
      <c r="C215" s="13">
        <f>IF(COUNT(ABC!$B$8:$B$507)=0,0,SUMIF(ABC!$D$8:$D$507,"&lt;="&amp;MIN(A215,COUNT(ABC!$B$8:$B$507)),ABC!$B$8:$B$507)/SUM(ABC!$B$8:$B$507))</f>
        <v/>
      </c>
    </row>
    <row r="216">
      <c r="A216" t="n">
        <v>213</v>
      </c>
      <c r="B216" s="13">
        <f>IF(COUNT(ABC!$B$8:$B$507)=0,0,MIN(A216,COUNT(ABC!$B$8:$B$507))/COUNT(ABC!$B$8:$B$507))</f>
        <v/>
      </c>
      <c r="C216" s="13">
        <f>IF(COUNT(ABC!$B$8:$B$507)=0,0,SUMIF(ABC!$D$8:$D$507,"&lt;="&amp;MIN(A216,COUNT(ABC!$B$8:$B$507)),ABC!$B$8:$B$507)/SUM(ABC!$B$8:$B$507))</f>
        <v/>
      </c>
    </row>
    <row r="217">
      <c r="A217" t="n">
        <v>214</v>
      </c>
      <c r="B217" s="13">
        <f>IF(COUNT(ABC!$B$8:$B$507)=0,0,MIN(A217,COUNT(ABC!$B$8:$B$507))/COUNT(ABC!$B$8:$B$507))</f>
        <v/>
      </c>
      <c r="C217" s="13">
        <f>IF(COUNT(ABC!$B$8:$B$507)=0,0,SUMIF(ABC!$D$8:$D$507,"&lt;="&amp;MIN(A217,COUNT(ABC!$B$8:$B$507)),ABC!$B$8:$B$507)/SUM(ABC!$B$8:$B$507))</f>
        <v/>
      </c>
    </row>
    <row r="218">
      <c r="A218" t="n">
        <v>215</v>
      </c>
      <c r="B218" s="13">
        <f>IF(COUNT(ABC!$B$8:$B$507)=0,0,MIN(A218,COUNT(ABC!$B$8:$B$507))/COUNT(ABC!$B$8:$B$507))</f>
        <v/>
      </c>
      <c r="C218" s="13">
        <f>IF(COUNT(ABC!$B$8:$B$507)=0,0,SUMIF(ABC!$D$8:$D$507,"&lt;="&amp;MIN(A218,COUNT(ABC!$B$8:$B$507)),ABC!$B$8:$B$507)/SUM(ABC!$B$8:$B$507))</f>
        <v/>
      </c>
    </row>
    <row r="219">
      <c r="A219" t="n">
        <v>216</v>
      </c>
      <c r="B219" s="13">
        <f>IF(COUNT(ABC!$B$8:$B$507)=0,0,MIN(A219,COUNT(ABC!$B$8:$B$507))/COUNT(ABC!$B$8:$B$507))</f>
        <v/>
      </c>
      <c r="C219" s="13">
        <f>IF(COUNT(ABC!$B$8:$B$507)=0,0,SUMIF(ABC!$D$8:$D$507,"&lt;="&amp;MIN(A219,COUNT(ABC!$B$8:$B$507)),ABC!$B$8:$B$507)/SUM(ABC!$B$8:$B$507))</f>
        <v/>
      </c>
    </row>
    <row r="220">
      <c r="A220" t="n">
        <v>217</v>
      </c>
      <c r="B220" s="13">
        <f>IF(COUNT(ABC!$B$8:$B$507)=0,0,MIN(A220,COUNT(ABC!$B$8:$B$507))/COUNT(ABC!$B$8:$B$507))</f>
        <v/>
      </c>
      <c r="C220" s="13">
        <f>IF(COUNT(ABC!$B$8:$B$507)=0,0,SUMIF(ABC!$D$8:$D$507,"&lt;="&amp;MIN(A220,COUNT(ABC!$B$8:$B$507)),ABC!$B$8:$B$507)/SUM(ABC!$B$8:$B$507))</f>
        <v/>
      </c>
    </row>
    <row r="221">
      <c r="A221" t="n">
        <v>218</v>
      </c>
      <c r="B221" s="13">
        <f>IF(COUNT(ABC!$B$8:$B$507)=0,0,MIN(A221,COUNT(ABC!$B$8:$B$507))/COUNT(ABC!$B$8:$B$507))</f>
        <v/>
      </c>
      <c r="C221" s="13">
        <f>IF(COUNT(ABC!$B$8:$B$507)=0,0,SUMIF(ABC!$D$8:$D$507,"&lt;="&amp;MIN(A221,COUNT(ABC!$B$8:$B$507)),ABC!$B$8:$B$507)/SUM(ABC!$B$8:$B$507))</f>
        <v/>
      </c>
    </row>
    <row r="222">
      <c r="A222" t="n">
        <v>219</v>
      </c>
      <c r="B222" s="13">
        <f>IF(COUNT(ABC!$B$8:$B$507)=0,0,MIN(A222,COUNT(ABC!$B$8:$B$507))/COUNT(ABC!$B$8:$B$507))</f>
        <v/>
      </c>
      <c r="C222" s="13">
        <f>IF(COUNT(ABC!$B$8:$B$507)=0,0,SUMIF(ABC!$D$8:$D$507,"&lt;="&amp;MIN(A222,COUNT(ABC!$B$8:$B$507)),ABC!$B$8:$B$507)/SUM(ABC!$B$8:$B$507))</f>
        <v/>
      </c>
    </row>
    <row r="223">
      <c r="A223" t="n">
        <v>220</v>
      </c>
      <c r="B223" s="13">
        <f>IF(COUNT(ABC!$B$8:$B$507)=0,0,MIN(A223,COUNT(ABC!$B$8:$B$507))/COUNT(ABC!$B$8:$B$507))</f>
        <v/>
      </c>
      <c r="C223" s="13">
        <f>IF(COUNT(ABC!$B$8:$B$507)=0,0,SUMIF(ABC!$D$8:$D$507,"&lt;="&amp;MIN(A223,COUNT(ABC!$B$8:$B$507)),ABC!$B$8:$B$507)/SUM(ABC!$B$8:$B$507))</f>
        <v/>
      </c>
    </row>
    <row r="224">
      <c r="A224" t="n">
        <v>221</v>
      </c>
      <c r="B224" s="13">
        <f>IF(COUNT(ABC!$B$8:$B$507)=0,0,MIN(A224,COUNT(ABC!$B$8:$B$507))/COUNT(ABC!$B$8:$B$507))</f>
        <v/>
      </c>
      <c r="C224" s="13">
        <f>IF(COUNT(ABC!$B$8:$B$507)=0,0,SUMIF(ABC!$D$8:$D$507,"&lt;="&amp;MIN(A224,COUNT(ABC!$B$8:$B$507)),ABC!$B$8:$B$507)/SUM(ABC!$B$8:$B$507))</f>
        <v/>
      </c>
    </row>
    <row r="225">
      <c r="A225" t="n">
        <v>222</v>
      </c>
      <c r="B225" s="13">
        <f>IF(COUNT(ABC!$B$8:$B$507)=0,0,MIN(A225,COUNT(ABC!$B$8:$B$507))/COUNT(ABC!$B$8:$B$507))</f>
        <v/>
      </c>
      <c r="C225" s="13">
        <f>IF(COUNT(ABC!$B$8:$B$507)=0,0,SUMIF(ABC!$D$8:$D$507,"&lt;="&amp;MIN(A225,COUNT(ABC!$B$8:$B$507)),ABC!$B$8:$B$507)/SUM(ABC!$B$8:$B$507))</f>
        <v/>
      </c>
    </row>
    <row r="226">
      <c r="A226" t="n">
        <v>223</v>
      </c>
      <c r="B226" s="13">
        <f>IF(COUNT(ABC!$B$8:$B$507)=0,0,MIN(A226,COUNT(ABC!$B$8:$B$507))/COUNT(ABC!$B$8:$B$507))</f>
        <v/>
      </c>
      <c r="C226" s="13">
        <f>IF(COUNT(ABC!$B$8:$B$507)=0,0,SUMIF(ABC!$D$8:$D$507,"&lt;="&amp;MIN(A226,COUNT(ABC!$B$8:$B$507)),ABC!$B$8:$B$507)/SUM(ABC!$B$8:$B$507))</f>
        <v/>
      </c>
    </row>
    <row r="227">
      <c r="A227" t="n">
        <v>224</v>
      </c>
      <c r="B227" s="13">
        <f>IF(COUNT(ABC!$B$8:$B$507)=0,0,MIN(A227,COUNT(ABC!$B$8:$B$507))/COUNT(ABC!$B$8:$B$507))</f>
        <v/>
      </c>
      <c r="C227" s="13">
        <f>IF(COUNT(ABC!$B$8:$B$507)=0,0,SUMIF(ABC!$D$8:$D$507,"&lt;="&amp;MIN(A227,COUNT(ABC!$B$8:$B$507)),ABC!$B$8:$B$507)/SUM(ABC!$B$8:$B$507))</f>
        <v/>
      </c>
    </row>
    <row r="228">
      <c r="A228" t="n">
        <v>225</v>
      </c>
      <c r="B228" s="13">
        <f>IF(COUNT(ABC!$B$8:$B$507)=0,0,MIN(A228,COUNT(ABC!$B$8:$B$507))/COUNT(ABC!$B$8:$B$507))</f>
        <v/>
      </c>
      <c r="C228" s="13">
        <f>IF(COUNT(ABC!$B$8:$B$507)=0,0,SUMIF(ABC!$D$8:$D$507,"&lt;="&amp;MIN(A228,COUNT(ABC!$B$8:$B$507)),ABC!$B$8:$B$507)/SUM(ABC!$B$8:$B$507))</f>
        <v/>
      </c>
    </row>
    <row r="229">
      <c r="A229" t="n">
        <v>226</v>
      </c>
      <c r="B229" s="13">
        <f>IF(COUNT(ABC!$B$8:$B$507)=0,0,MIN(A229,COUNT(ABC!$B$8:$B$507))/COUNT(ABC!$B$8:$B$507))</f>
        <v/>
      </c>
      <c r="C229" s="13">
        <f>IF(COUNT(ABC!$B$8:$B$507)=0,0,SUMIF(ABC!$D$8:$D$507,"&lt;="&amp;MIN(A229,COUNT(ABC!$B$8:$B$507)),ABC!$B$8:$B$507)/SUM(ABC!$B$8:$B$507))</f>
        <v/>
      </c>
    </row>
    <row r="230">
      <c r="A230" t="n">
        <v>227</v>
      </c>
      <c r="B230" s="13">
        <f>IF(COUNT(ABC!$B$8:$B$507)=0,0,MIN(A230,COUNT(ABC!$B$8:$B$507))/COUNT(ABC!$B$8:$B$507))</f>
        <v/>
      </c>
      <c r="C230" s="13">
        <f>IF(COUNT(ABC!$B$8:$B$507)=0,0,SUMIF(ABC!$D$8:$D$507,"&lt;="&amp;MIN(A230,COUNT(ABC!$B$8:$B$507)),ABC!$B$8:$B$507)/SUM(ABC!$B$8:$B$507))</f>
        <v/>
      </c>
    </row>
    <row r="231">
      <c r="A231" t="n">
        <v>228</v>
      </c>
      <c r="B231" s="13">
        <f>IF(COUNT(ABC!$B$8:$B$507)=0,0,MIN(A231,COUNT(ABC!$B$8:$B$507))/COUNT(ABC!$B$8:$B$507))</f>
        <v/>
      </c>
      <c r="C231" s="13">
        <f>IF(COUNT(ABC!$B$8:$B$507)=0,0,SUMIF(ABC!$D$8:$D$507,"&lt;="&amp;MIN(A231,COUNT(ABC!$B$8:$B$507)),ABC!$B$8:$B$507)/SUM(ABC!$B$8:$B$507))</f>
        <v/>
      </c>
    </row>
    <row r="232">
      <c r="A232" t="n">
        <v>229</v>
      </c>
      <c r="B232" s="13">
        <f>IF(COUNT(ABC!$B$8:$B$507)=0,0,MIN(A232,COUNT(ABC!$B$8:$B$507))/COUNT(ABC!$B$8:$B$507))</f>
        <v/>
      </c>
      <c r="C232" s="13">
        <f>IF(COUNT(ABC!$B$8:$B$507)=0,0,SUMIF(ABC!$D$8:$D$507,"&lt;="&amp;MIN(A232,COUNT(ABC!$B$8:$B$507)),ABC!$B$8:$B$507)/SUM(ABC!$B$8:$B$507))</f>
        <v/>
      </c>
    </row>
    <row r="233">
      <c r="A233" t="n">
        <v>230</v>
      </c>
      <c r="B233" s="13">
        <f>IF(COUNT(ABC!$B$8:$B$507)=0,0,MIN(A233,COUNT(ABC!$B$8:$B$507))/COUNT(ABC!$B$8:$B$507))</f>
        <v/>
      </c>
      <c r="C233" s="13">
        <f>IF(COUNT(ABC!$B$8:$B$507)=0,0,SUMIF(ABC!$D$8:$D$507,"&lt;="&amp;MIN(A233,COUNT(ABC!$B$8:$B$507)),ABC!$B$8:$B$507)/SUM(ABC!$B$8:$B$507))</f>
        <v/>
      </c>
    </row>
    <row r="234">
      <c r="A234" t="n">
        <v>231</v>
      </c>
      <c r="B234" s="13">
        <f>IF(COUNT(ABC!$B$8:$B$507)=0,0,MIN(A234,COUNT(ABC!$B$8:$B$507))/COUNT(ABC!$B$8:$B$507))</f>
        <v/>
      </c>
      <c r="C234" s="13">
        <f>IF(COUNT(ABC!$B$8:$B$507)=0,0,SUMIF(ABC!$D$8:$D$507,"&lt;="&amp;MIN(A234,COUNT(ABC!$B$8:$B$507)),ABC!$B$8:$B$507)/SUM(ABC!$B$8:$B$507))</f>
        <v/>
      </c>
    </row>
    <row r="235">
      <c r="A235" t="n">
        <v>232</v>
      </c>
      <c r="B235" s="13">
        <f>IF(COUNT(ABC!$B$8:$B$507)=0,0,MIN(A235,COUNT(ABC!$B$8:$B$507))/COUNT(ABC!$B$8:$B$507))</f>
        <v/>
      </c>
      <c r="C235" s="13">
        <f>IF(COUNT(ABC!$B$8:$B$507)=0,0,SUMIF(ABC!$D$8:$D$507,"&lt;="&amp;MIN(A235,COUNT(ABC!$B$8:$B$507)),ABC!$B$8:$B$507)/SUM(ABC!$B$8:$B$507))</f>
        <v/>
      </c>
    </row>
    <row r="236">
      <c r="A236" t="n">
        <v>233</v>
      </c>
      <c r="B236" s="13">
        <f>IF(COUNT(ABC!$B$8:$B$507)=0,0,MIN(A236,COUNT(ABC!$B$8:$B$507))/COUNT(ABC!$B$8:$B$507))</f>
        <v/>
      </c>
      <c r="C236" s="13">
        <f>IF(COUNT(ABC!$B$8:$B$507)=0,0,SUMIF(ABC!$D$8:$D$507,"&lt;="&amp;MIN(A236,COUNT(ABC!$B$8:$B$507)),ABC!$B$8:$B$507)/SUM(ABC!$B$8:$B$507))</f>
        <v/>
      </c>
    </row>
    <row r="237">
      <c r="A237" t="n">
        <v>234</v>
      </c>
      <c r="B237" s="13">
        <f>IF(COUNT(ABC!$B$8:$B$507)=0,0,MIN(A237,COUNT(ABC!$B$8:$B$507))/COUNT(ABC!$B$8:$B$507))</f>
        <v/>
      </c>
      <c r="C237" s="13">
        <f>IF(COUNT(ABC!$B$8:$B$507)=0,0,SUMIF(ABC!$D$8:$D$507,"&lt;="&amp;MIN(A237,COUNT(ABC!$B$8:$B$507)),ABC!$B$8:$B$507)/SUM(ABC!$B$8:$B$507))</f>
        <v/>
      </c>
    </row>
    <row r="238">
      <c r="A238" t="n">
        <v>235</v>
      </c>
      <c r="B238" s="13">
        <f>IF(COUNT(ABC!$B$8:$B$507)=0,0,MIN(A238,COUNT(ABC!$B$8:$B$507))/COUNT(ABC!$B$8:$B$507))</f>
        <v/>
      </c>
      <c r="C238" s="13">
        <f>IF(COUNT(ABC!$B$8:$B$507)=0,0,SUMIF(ABC!$D$8:$D$507,"&lt;="&amp;MIN(A238,COUNT(ABC!$B$8:$B$507)),ABC!$B$8:$B$507)/SUM(ABC!$B$8:$B$507))</f>
        <v/>
      </c>
    </row>
    <row r="239">
      <c r="A239" t="n">
        <v>236</v>
      </c>
      <c r="B239" s="13">
        <f>IF(COUNT(ABC!$B$8:$B$507)=0,0,MIN(A239,COUNT(ABC!$B$8:$B$507))/COUNT(ABC!$B$8:$B$507))</f>
        <v/>
      </c>
      <c r="C239" s="13">
        <f>IF(COUNT(ABC!$B$8:$B$507)=0,0,SUMIF(ABC!$D$8:$D$507,"&lt;="&amp;MIN(A239,COUNT(ABC!$B$8:$B$507)),ABC!$B$8:$B$507)/SUM(ABC!$B$8:$B$507))</f>
        <v/>
      </c>
    </row>
    <row r="240">
      <c r="A240" t="n">
        <v>237</v>
      </c>
      <c r="B240" s="13">
        <f>IF(COUNT(ABC!$B$8:$B$507)=0,0,MIN(A240,COUNT(ABC!$B$8:$B$507))/COUNT(ABC!$B$8:$B$507))</f>
        <v/>
      </c>
      <c r="C240" s="13">
        <f>IF(COUNT(ABC!$B$8:$B$507)=0,0,SUMIF(ABC!$D$8:$D$507,"&lt;="&amp;MIN(A240,COUNT(ABC!$B$8:$B$507)),ABC!$B$8:$B$507)/SUM(ABC!$B$8:$B$507))</f>
        <v/>
      </c>
    </row>
    <row r="241">
      <c r="A241" t="n">
        <v>238</v>
      </c>
      <c r="B241" s="13">
        <f>IF(COUNT(ABC!$B$8:$B$507)=0,0,MIN(A241,COUNT(ABC!$B$8:$B$507))/COUNT(ABC!$B$8:$B$507))</f>
        <v/>
      </c>
      <c r="C241" s="13">
        <f>IF(COUNT(ABC!$B$8:$B$507)=0,0,SUMIF(ABC!$D$8:$D$507,"&lt;="&amp;MIN(A241,COUNT(ABC!$B$8:$B$507)),ABC!$B$8:$B$507)/SUM(ABC!$B$8:$B$507))</f>
        <v/>
      </c>
    </row>
    <row r="242">
      <c r="A242" t="n">
        <v>239</v>
      </c>
      <c r="B242" s="13">
        <f>IF(COUNT(ABC!$B$8:$B$507)=0,0,MIN(A242,COUNT(ABC!$B$8:$B$507))/COUNT(ABC!$B$8:$B$507))</f>
        <v/>
      </c>
      <c r="C242" s="13">
        <f>IF(COUNT(ABC!$B$8:$B$507)=0,0,SUMIF(ABC!$D$8:$D$507,"&lt;="&amp;MIN(A242,COUNT(ABC!$B$8:$B$507)),ABC!$B$8:$B$507)/SUM(ABC!$B$8:$B$507))</f>
        <v/>
      </c>
    </row>
    <row r="243">
      <c r="A243" t="n">
        <v>240</v>
      </c>
      <c r="B243" s="13">
        <f>IF(COUNT(ABC!$B$8:$B$507)=0,0,MIN(A243,COUNT(ABC!$B$8:$B$507))/COUNT(ABC!$B$8:$B$507))</f>
        <v/>
      </c>
      <c r="C243" s="13">
        <f>IF(COUNT(ABC!$B$8:$B$507)=0,0,SUMIF(ABC!$D$8:$D$507,"&lt;="&amp;MIN(A243,COUNT(ABC!$B$8:$B$507)),ABC!$B$8:$B$507)/SUM(ABC!$B$8:$B$507))</f>
        <v/>
      </c>
    </row>
    <row r="244">
      <c r="A244" t="n">
        <v>241</v>
      </c>
      <c r="B244" s="13">
        <f>IF(COUNT(ABC!$B$8:$B$507)=0,0,MIN(A244,COUNT(ABC!$B$8:$B$507))/COUNT(ABC!$B$8:$B$507))</f>
        <v/>
      </c>
      <c r="C244" s="13">
        <f>IF(COUNT(ABC!$B$8:$B$507)=0,0,SUMIF(ABC!$D$8:$D$507,"&lt;="&amp;MIN(A244,COUNT(ABC!$B$8:$B$507)),ABC!$B$8:$B$507)/SUM(ABC!$B$8:$B$507))</f>
        <v/>
      </c>
    </row>
    <row r="245">
      <c r="A245" t="n">
        <v>242</v>
      </c>
      <c r="B245" s="13">
        <f>IF(COUNT(ABC!$B$8:$B$507)=0,0,MIN(A245,COUNT(ABC!$B$8:$B$507))/COUNT(ABC!$B$8:$B$507))</f>
        <v/>
      </c>
      <c r="C245" s="13">
        <f>IF(COUNT(ABC!$B$8:$B$507)=0,0,SUMIF(ABC!$D$8:$D$507,"&lt;="&amp;MIN(A245,COUNT(ABC!$B$8:$B$507)),ABC!$B$8:$B$507)/SUM(ABC!$B$8:$B$507))</f>
        <v/>
      </c>
    </row>
    <row r="246">
      <c r="A246" t="n">
        <v>243</v>
      </c>
      <c r="B246" s="13">
        <f>IF(COUNT(ABC!$B$8:$B$507)=0,0,MIN(A246,COUNT(ABC!$B$8:$B$507))/COUNT(ABC!$B$8:$B$507))</f>
        <v/>
      </c>
      <c r="C246" s="13">
        <f>IF(COUNT(ABC!$B$8:$B$507)=0,0,SUMIF(ABC!$D$8:$D$507,"&lt;="&amp;MIN(A246,COUNT(ABC!$B$8:$B$507)),ABC!$B$8:$B$507)/SUM(ABC!$B$8:$B$507))</f>
        <v/>
      </c>
    </row>
    <row r="247">
      <c r="A247" t="n">
        <v>244</v>
      </c>
      <c r="B247" s="13">
        <f>IF(COUNT(ABC!$B$8:$B$507)=0,0,MIN(A247,COUNT(ABC!$B$8:$B$507))/COUNT(ABC!$B$8:$B$507))</f>
        <v/>
      </c>
      <c r="C247" s="13">
        <f>IF(COUNT(ABC!$B$8:$B$507)=0,0,SUMIF(ABC!$D$8:$D$507,"&lt;="&amp;MIN(A247,COUNT(ABC!$B$8:$B$507)),ABC!$B$8:$B$507)/SUM(ABC!$B$8:$B$507))</f>
        <v/>
      </c>
    </row>
    <row r="248">
      <c r="A248" t="n">
        <v>245</v>
      </c>
      <c r="B248" s="13">
        <f>IF(COUNT(ABC!$B$8:$B$507)=0,0,MIN(A248,COUNT(ABC!$B$8:$B$507))/COUNT(ABC!$B$8:$B$507))</f>
        <v/>
      </c>
      <c r="C248" s="13">
        <f>IF(COUNT(ABC!$B$8:$B$507)=0,0,SUMIF(ABC!$D$8:$D$507,"&lt;="&amp;MIN(A248,COUNT(ABC!$B$8:$B$507)),ABC!$B$8:$B$507)/SUM(ABC!$B$8:$B$507))</f>
        <v/>
      </c>
    </row>
    <row r="249">
      <c r="A249" t="n">
        <v>246</v>
      </c>
      <c r="B249" s="13">
        <f>IF(COUNT(ABC!$B$8:$B$507)=0,0,MIN(A249,COUNT(ABC!$B$8:$B$507))/COUNT(ABC!$B$8:$B$507))</f>
        <v/>
      </c>
      <c r="C249" s="13">
        <f>IF(COUNT(ABC!$B$8:$B$507)=0,0,SUMIF(ABC!$D$8:$D$507,"&lt;="&amp;MIN(A249,COUNT(ABC!$B$8:$B$507)),ABC!$B$8:$B$507)/SUM(ABC!$B$8:$B$507))</f>
        <v/>
      </c>
    </row>
    <row r="250">
      <c r="A250" t="n">
        <v>247</v>
      </c>
      <c r="B250" s="13">
        <f>IF(COUNT(ABC!$B$8:$B$507)=0,0,MIN(A250,COUNT(ABC!$B$8:$B$507))/COUNT(ABC!$B$8:$B$507))</f>
        <v/>
      </c>
      <c r="C250" s="13">
        <f>IF(COUNT(ABC!$B$8:$B$507)=0,0,SUMIF(ABC!$D$8:$D$507,"&lt;="&amp;MIN(A250,COUNT(ABC!$B$8:$B$507)),ABC!$B$8:$B$507)/SUM(ABC!$B$8:$B$507))</f>
        <v/>
      </c>
    </row>
    <row r="251">
      <c r="A251" t="n">
        <v>248</v>
      </c>
      <c r="B251" s="13">
        <f>IF(COUNT(ABC!$B$8:$B$507)=0,0,MIN(A251,COUNT(ABC!$B$8:$B$507))/COUNT(ABC!$B$8:$B$507))</f>
        <v/>
      </c>
      <c r="C251" s="13">
        <f>IF(COUNT(ABC!$B$8:$B$507)=0,0,SUMIF(ABC!$D$8:$D$507,"&lt;="&amp;MIN(A251,COUNT(ABC!$B$8:$B$507)),ABC!$B$8:$B$507)/SUM(ABC!$B$8:$B$507))</f>
        <v/>
      </c>
    </row>
    <row r="252">
      <c r="A252" t="n">
        <v>249</v>
      </c>
      <c r="B252" s="13">
        <f>IF(COUNT(ABC!$B$8:$B$507)=0,0,MIN(A252,COUNT(ABC!$B$8:$B$507))/COUNT(ABC!$B$8:$B$507))</f>
        <v/>
      </c>
      <c r="C252" s="13">
        <f>IF(COUNT(ABC!$B$8:$B$507)=0,0,SUMIF(ABC!$D$8:$D$507,"&lt;="&amp;MIN(A252,COUNT(ABC!$B$8:$B$507)),ABC!$B$8:$B$507)/SUM(ABC!$B$8:$B$507))</f>
        <v/>
      </c>
    </row>
    <row r="253">
      <c r="A253" t="n">
        <v>250</v>
      </c>
      <c r="B253" s="13">
        <f>IF(COUNT(ABC!$B$8:$B$507)=0,0,MIN(A253,COUNT(ABC!$B$8:$B$507))/COUNT(ABC!$B$8:$B$507))</f>
        <v/>
      </c>
      <c r="C253" s="13">
        <f>IF(COUNT(ABC!$B$8:$B$507)=0,0,SUMIF(ABC!$D$8:$D$507,"&lt;="&amp;MIN(A253,COUNT(ABC!$B$8:$B$507)),ABC!$B$8:$B$507)/SUM(ABC!$B$8:$B$507))</f>
        <v/>
      </c>
    </row>
    <row r="254">
      <c r="A254" t="n">
        <v>251</v>
      </c>
      <c r="B254" s="13">
        <f>IF(COUNT(ABC!$B$8:$B$507)=0,0,MIN(A254,COUNT(ABC!$B$8:$B$507))/COUNT(ABC!$B$8:$B$507))</f>
        <v/>
      </c>
      <c r="C254" s="13">
        <f>IF(COUNT(ABC!$B$8:$B$507)=0,0,SUMIF(ABC!$D$8:$D$507,"&lt;="&amp;MIN(A254,COUNT(ABC!$B$8:$B$507)),ABC!$B$8:$B$507)/SUM(ABC!$B$8:$B$507))</f>
        <v/>
      </c>
    </row>
    <row r="255">
      <c r="A255" t="n">
        <v>252</v>
      </c>
      <c r="B255" s="13">
        <f>IF(COUNT(ABC!$B$8:$B$507)=0,0,MIN(A255,COUNT(ABC!$B$8:$B$507))/COUNT(ABC!$B$8:$B$507))</f>
        <v/>
      </c>
      <c r="C255" s="13">
        <f>IF(COUNT(ABC!$B$8:$B$507)=0,0,SUMIF(ABC!$D$8:$D$507,"&lt;="&amp;MIN(A255,COUNT(ABC!$B$8:$B$507)),ABC!$B$8:$B$507)/SUM(ABC!$B$8:$B$507))</f>
        <v/>
      </c>
    </row>
    <row r="256">
      <c r="A256" t="n">
        <v>253</v>
      </c>
      <c r="B256" s="13">
        <f>IF(COUNT(ABC!$B$8:$B$507)=0,0,MIN(A256,COUNT(ABC!$B$8:$B$507))/COUNT(ABC!$B$8:$B$507))</f>
        <v/>
      </c>
      <c r="C256" s="13">
        <f>IF(COUNT(ABC!$B$8:$B$507)=0,0,SUMIF(ABC!$D$8:$D$507,"&lt;="&amp;MIN(A256,COUNT(ABC!$B$8:$B$507)),ABC!$B$8:$B$507)/SUM(ABC!$B$8:$B$507))</f>
        <v/>
      </c>
    </row>
    <row r="257">
      <c r="A257" t="n">
        <v>254</v>
      </c>
      <c r="B257" s="13">
        <f>IF(COUNT(ABC!$B$8:$B$507)=0,0,MIN(A257,COUNT(ABC!$B$8:$B$507))/COUNT(ABC!$B$8:$B$507))</f>
        <v/>
      </c>
      <c r="C257" s="13">
        <f>IF(COUNT(ABC!$B$8:$B$507)=0,0,SUMIF(ABC!$D$8:$D$507,"&lt;="&amp;MIN(A257,COUNT(ABC!$B$8:$B$507)),ABC!$B$8:$B$507)/SUM(ABC!$B$8:$B$507))</f>
        <v/>
      </c>
    </row>
    <row r="258">
      <c r="A258" t="n">
        <v>255</v>
      </c>
      <c r="B258" s="13">
        <f>IF(COUNT(ABC!$B$8:$B$507)=0,0,MIN(A258,COUNT(ABC!$B$8:$B$507))/COUNT(ABC!$B$8:$B$507))</f>
        <v/>
      </c>
      <c r="C258" s="13">
        <f>IF(COUNT(ABC!$B$8:$B$507)=0,0,SUMIF(ABC!$D$8:$D$507,"&lt;="&amp;MIN(A258,COUNT(ABC!$B$8:$B$507)),ABC!$B$8:$B$507)/SUM(ABC!$B$8:$B$507))</f>
        <v/>
      </c>
    </row>
    <row r="259">
      <c r="A259" t="n">
        <v>256</v>
      </c>
      <c r="B259" s="13">
        <f>IF(COUNT(ABC!$B$8:$B$507)=0,0,MIN(A259,COUNT(ABC!$B$8:$B$507))/COUNT(ABC!$B$8:$B$507))</f>
        <v/>
      </c>
      <c r="C259" s="13">
        <f>IF(COUNT(ABC!$B$8:$B$507)=0,0,SUMIF(ABC!$D$8:$D$507,"&lt;="&amp;MIN(A259,COUNT(ABC!$B$8:$B$507)),ABC!$B$8:$B$507)/SUM(ABC!$B$8:$B$507))</f>
        <v/>
      </c>
    </row>
    <row r="260">
      <c r="A260" t="n">
        <v>257</v>
      </c>
      <c r="B260" s="13">
        <f>IF(COUNT(ABC!$B$8:$B$507)=0,0,MIN(A260,COUNT(ABC!$B$8:$B$507))/COUNT(ABC!$B$8:$B$507))</f>
        <v/>
      </c>
      <c r="C260" s="13">
        <f>IF(COUNT(ABC!$B$8:$B$507)=0,0,SUMIF(ABC!$D$8:$D$507,"&lt;="&amp;MIN(A260,COUNT(ABC!$B$8:$B$507)),ABC!$B$8:$B$507)/SUM(ABC!$B$8:$B$507))</f>
        <v/>
      </c>
    </row>
    <row r="261">
      <c r="A261" t="n">
        <v>258</v>
      </c>
      <c r="B261" s="13">
        <f>IF(COUNT(ABC!$B$8:$B$507)=0,0,MIN(A261,COUNT(ABC!$B$8:$B$507))/COUNT(ABC!$B$8:$B$507))</f>
        <v/>
      </c>
      <c r="C261" s="13">
        <f>IF(COUNT(ABC!$B$8:$B$507)=0,0,SUMIF(ABC!$D$8:$D$507,"&lt;="&amp;MIN(A261,COUNT(ABC!$B$8:$B$507)),ABC!$B$8:$B$507)/SUM(ABC!$B$8:$B$507))</f>
        <v/>
      </c>
    </row>
    <row r="262">
      <c r="A262" t="n">
        <v>259</v>
      </c>
      <c r="B262" s="13">
        <f>IF(COUNT(ABC!$B$8:$B$507)=0,0,MIN(A262,COUNT(ABC!$B$8:$B$507))/COUNT(ABC!$B$8:$B$507))</f>
        <v/>
      </c>
      <c r="C262" s="13">
        <f>IF(COUNT(ABC!$B$8:$B$507)=0,0,SUMIF(ABC!$D$8:$D$507,"&lt;="&amp;MIN(A262,COUNT(ABC!$B$8:$B$507)),ABC!$B$8:$B$507)/SUM(ABC!$B$8:$B$507))</f>
        <v/>
      </c>
    </row>
    <row r="263">
      <c r="A263" t="n">
        <v>260</v>
      </c>
      <c r="B263" s="13">
        <f>IF(COUNT(ABC!$B$8:$B$507)=0,0,MIN(A263,COUNT(ABC!$B$8:$B$507))/COUNT(ABC!$B$8:$B$507))</f>
        <v/>
      </c>
      <c r="C263" s="13">
        <f>IF(COUNT(ABC!$B$8:$B$507)=0,0,SUMIF(ABC!$D$8:$D$507,"&lt;="&amp;MIN(A263,COUNT(ABC!$B$8:$B$507)),ABC!$B$8:$B$507)/SUM(ABC!$B$8:$B$507))</f>
        <v/>
      </c>
    </row>
    <row r="264">
      <c r="A264" t="n">
        <v>261</v>
      </c>
      <c r="B264" s="13">
        <f>IF(COUNT(ABC!$B$8:$B$507)=0,0,MIN(A264,COUNT(ABC!$B$8:$B$507))/COUNT(ABC!$B$8:$B$507))</f>
        <v/>
      </c>
      <c r="C264" s="13">
        <f>IF(COUNT(ABC!$B$8:$B$507)=0,0,SUMIF(ABC!$D$8:$D$507,"&lt;="&amp;MIN(A264,COUNT(ABC!$B$8:$B$507)),ABC!$B$8:$B$507)/SUM(ABC!$B$8:$B$507))</f>
        <v/>
      </c>
    </row>
    <row r="265">
      <c r="A265" t="n">
        <v>262</v>
      </c>
      <c r="B265" s="13">
        <f>IF(COUNT(ABC!$B$8:$B$507)=0,0,MIN(A265,COUNT(ABC!$B$8:$B$507))/COUNT(ABC!$B$8:$B$507))</f>
        <v/>
      </c>
      <c r="C265" s="13">
        <f>IF(COUNT(ABC!$B$8:$B$507)=0,0,SUMIF(ABC!$D$8:$D$507,"&lt;="&amp;MIN(A265,COUNT(ABC!$B$8:$B$507)),ABC!$B$8:$B$507)/SUM(ABC!$B$8:$B$507))</f>
        <v/>
      </c>
    </row>
    <row r="266">
      <c r="A266" t="n">
        <v>263</v>
      </c>
      <c r="B266" s="13">
        <f>IF(COUNT(ABC!$B$8:$B$507)=0,0,MIN(A266,COUNT(ABC!$B$8:$B$507))/COUNT(ABC!$B$8:$B$507))</f>
        <v/>
      </c>
      <c r="C266" s="13">
        <f>IF(COUNT(ABC!$B$8:$B$507)=0,0,SUMIF(ABC!$D$8:$D$507,"&lt;="&amp;MIN(A266,COUNT(ABC!$B$8:$B$507)),ABC!$B$8:$B$507)/SUM(ABC!$B$8:$B$507))</f>
        <v/>
      </c>
    </row>
    <row r="267">
      <c r="A267" t="n">
        <v>264</v>
      </c>
      <c r="B267" s="13">
        <f>IF(COUNT(ABC!$B$8:$B$507)=0,0,MIN(A267,COUNT(ABC!$B$8:$B$507))/COUNT(ABC!$B$8:$B$507))</f>
        <v/>
      </c>
      <c r="C267" s="13">
        <f>IF(COUNT(ABC!$B$8:$B$507)=0,0,SUMIF(ABC!$D$8:$D$507,"&lt;="&amp;MIN(A267,COUNT(ABC!$B$8:$B$507)),ABC!$B$8:$B$507)/SUM(ABC!$B$8:$B$507))</f>
        <v/>
      </c>
    </row>
    <row r="268">
      <c r="A268" t="n">
        <v>265</v>
      </c>
      <c r="B268" s="13">
        <f>IF(COUNT(ABC!$B$8:$B$507)=0,0,MIN(A268,COUNT(ABC!$B$8:$B$507))/COUNT(ABC!$B$8:$B$507))</f>
        <v/>
      </c>
      <c r="C268" s="13">
        <f>IF(COUNT(ABC!$B$8:$B$507)=0,0,SUMIF(ABC!$D$8:$D$507,"&lt;="&amp;MIN(A268,COUNT(ABC!$B$8:$B$507)),ABC!$B$8:$B$507)/SUM(ABC!$B$8:$B$507))</f>
        <v/>
      </c>
    </row>
    <row r="269">
      <c r="A269" t="n">
        <v>266</v>
      </c>
      <c r="B269" s="13">
        <f>IF(COUNT(ABC!$B$8:$B$507)=0,0,MIN(A269,COUNT(ABC!$B$8:$B$507))/COUNT(ABC!$B$8:$B$507))</f>
        <v/>
      </c>
      <c r="C269" s="13">
        <f>IF(COUNT(ABC!$B$8:$B$507)=0,0,SUMIF(ABC!$D$8:$D$507,"&lt;="&amp;MIN(A269,COUNT(ABC!$B$8:$B$507)),ABC!$B$8:$B$507)/SUM(ABC!$B$8:$B$507))</f>
        <v/>
      </c>
    </row>
    <row r="270">
      <c r="A270" t="n">
        <v>267</v>
      </c>
      <c r="B270" s="13">
        <f>IF(COUNT(ABC!$B$8:$B$507)=0,0,MIN(A270,COUNT(ABC!$B$8:$B$507))/COUNT(ABC!$B$8:$B$507))</f>
        <v/>
      </c>
      <c r="C270" s="13">
        <f>IF(COUNT(ABC!$B$8:$B$507)=0,0,SUMIF(ABC!$D$8:$D$507,"&lt;="&amp;MIN(A270,COUNT(ABC!$B$8:$B$507)),ABC!$B$8:$B$507)/SUM(ABC!$B$8:$B$507))</f>
        <v/>
      </c>
    </row>
    <row r="271">
      <c r="A271" t="n">
        <v>268</v>
      </c>
      <c r="B271" s="13">
        <f>IF(COUNT(ABC!$B$8:$B$507)=0,0,MIN(A271,COUNT(ABC!$B$8:$B$507))/COUNT(ABC!$B$8:$B$507))</f>
        <v/>
      </c>
      <c r="C271" s="13">
        <f>IF(COUNT(ABC!$B$8:$B$507)=0,0,SUMIF(ABC!$D$8:$D$507,"&lt;="&amp;MIN(A271,COUNT(ABC!$B$8:$B$507)),ABC!$B$8:$B$507)/SUM(ABC!$B$8:$B$507))</f>
        <v/>
      </c>
    </row>
    <row r="272">
      <c r="A272" t="n">
        <v>269</v>
      </c>
      <c r="B272" s="13">
        <f>IF(COUNT(ABC!$B$8:$B$507)=0,0,MIN(A272,COUNT(ABC!$B$8:$B$507))/COUNT(ABC!$B$8:$B$507))</f>
        <v/>
      </c>
      <c r="C272" s="13">
        <f>IF(COUNT(ABC!$B$8:$B$507)=0,0,SUMIF(ABC!$D$8:$D$507,"&lt;="&amp;MIN(A272,COUNT(ABC!$B$8:$B$507)),ABC!$B$8:$B$507)/SUM(ABC!$B$8:$B$507))</f>
        <v/>
      </c>
    </row>
    <row r="273">
      <c r="A273" t="n">
        <v>270</v>
      </c>
      <c r="B273" s="13">
        <f>IF(COUNT(ABC!$B$8:$B$507)=0,0,MIN(A273,COUNT(ABC!$B$8:$B$507))/COUNT(ABC!$B$8:$B$507))</f>
        <v/>
      </c>
      <c r="C273" s="13">
        <f>IF(COUNT(ABC!$B$8:$B$507)=0,0,SUMIF(ABC!$D$8:$D$507,"&lt;="&amp;MIN(A273,COUNT(ABC!$B$8:$B$507)),ABC!$B$8:$B$507)/SUM(ABC!$B$8:$B$507))</f>
        <v/>
      </c>
    </row>
    <row r="274">
      <c r="A274" t="n">
        <v>271</v>
      </c>
      <c r="B274" s="13">
        <f>IF(COUNT(ABC!$B$8:$B$507)=0,0,MIN(A274,COUNT(ABC!$B$8:$B$507))/COUNT(ABC!$B$8:$B$507))</f>
        <v/>
      </c>
      <c r="C274" s="13">
        <f>IF(COUNT(ABC!$B$8:$B$507)=0,0,SUMIF(ABC!$D$8:$D$507,"&lt;="&amp;MIN(A274,COUNT(ABC!$B$8:$B$507)),ABC!$B$8:$B$507)/SUM(ABC!$B$8:$B$507))</f>
        <v/>
      </c>
    </row>
    <row r="275">
      <c r="A275" t="n">
        <v>272</v>
      </c>
      <c r="B275" s="13">
        <f>IF(COUNT(ABC!$B$8:$B$507)=0,0,MIN(A275,COUNT(ABC!$B$8:$B$507))/COUNT(ABC!$B$8:$B$507))</f>
        <v/>
      </c>
      <c r="C275" s="13">
        <f>IF(COUNT(ABC!$B$8:$B$507)=0,0,SUMIF(ABC!$D$8:$D$507,"&lt;="&amp;MIN(A275,COUNT(ABC!$B$8:$B$507)),ABC!$B$8:$B$507)/SUM(ABC!$B$8:$B$507))</f>
        <v/>
      </c>
    </row>
    <row r="276">
      <c r="A276" t="n">
        <v>273</v>
      </c>
      <c r="B276" s="13">
        <f>IF(COUNT(ABC!$B$8:$B$507)=0,0,MIN(A276,COUNT(ABC!$B$8:$B$507))/COUNT(ABC!$B$8:$B$507))</f>
        <v/>
      </c>
      <c r="C276" s="13">
        <f>IF(COUNT(ABC!$B$8:$B$507)=0,0,SUMIF(ABC!$D$8:$D$507,"&lt;="&amp;MIN(A276,COUNT(ABC!$B$8:$B$507)),ABC!$B$8:$B$507)/SUM(ABC!$B$8:$B$507))</f>
        <v/>
      </c>
    </row>
    <row r="277">
      <c r="A277" t="n">
        <v>274</v>
      </c>
      <c r="B277" s="13">
        <f>IF(COUNT(ABC!$B$8:$B$507)=0,0,MIN(A277,COUNT(ABC!$B$8:$B$507))/COUNT(ABC!$B$8:$B$507))</f>
        <v/>
      </c>
      <c r="C277" s="13">
        <f>IF(COUNT(ABC!$B$8:$B$507)=0,0,SUMIF(ABC!$D$8:$D$507,"&lt;="&amp;MIN(A277,COUNT(ABC!$B$8:$B$507)),ABC!$B$8:$B$507)/SUM(ABC!$B$8:$B$507))</f>
        <v/>
      </c>
    </row>
    <row r="278">
      <c r="A278" t="n">
        <v>275</v>
      </c>
      <c r="B278" s="13">
        <f>IF(COUNT(ABC!$B$8:$B$507)=0,0,MIN(A278,COUNT(ABC!$B$8:$B$507))/COUNT(ABC!$B$8:$B$507))</f>
        <v/>
      </c>
      <c r="C278" s="13">
        <f>IF(COUNT(ABC!$B$8:$B$507)=0,0,SUMIF(ABC!$D$8:$D$507,"&lt;="&amp;MIN(A278,COUNT(ABC!$B$8:$B$507)),ABC!$B$8:$B$507)/SUM(ABC!$B$8:$B$507))</f>
        <v/>
      </c>
    </row>
    <row r="279">
      <c r="A279" t="n">
        <v>276</v>
      </c>
      <c r="B279" s="13">
        <f>IF(COUNT(ABC!$B$8:$B$507)=0,0,MIN(A279,COUNT(ABC!$B$8:$B$507))/COUNT(ABC!$B$8:$B$507))</f>
        <v/>
      </c>
      <c r="C279" s="13">
        <f>IF(COUNT(ABC!$B$8:$B$507)=0,0,SUMIF(ABC!$D$8:$D$507,"&lt;="&amp;MIN(A279,COUNT(ABC!$B$8:$B$507)),ABC!$B$8:$B$507)/SUM(ABC!$B$8:$B$507))</f>
        <v/>
      </c>
    </row>
    <row r="280">
      <c r="A280" t="n">
        <v>277</v>
      </c>
      <c r="B280" s="13">
        <f>IF(COUNT(ABC!$B$8:$B$507)=0,0,MIN(A280,COUNT(ABC!$B$8:$B$507))/COUNT(ABC!$B$8:$B$507))</f>
        <v/>
      </c>
      <c r="C280" s="13">
        <f>IF(COUNT(ABC!$B$8:$B$507)=0,0,SUMIF(ABC!$D$8:$D$507,"&lt;="&amp;MIN(A280,COUNT(ABC!$B$8:$B$507)),ABC!$B$8:$B$507)/SUM(ABC!$B$8:$B$507))</f>
        <v/>
      </c>
    </row>
    <row r="281">
      <c r="A281" t="n">
        <v>278</v>
      </c>
      <c r="B281" s="13">
        <f>IF(COUNT(ABC!$B$8:$B$507)=0,0,MIN(A281,COUNT(ABC!$B$8:$B$507))/COUNT(ABC!$B$8:$B$507))</f>
        <v/>
      </c>
      <c r="C281" s="13">
        <f>IF(COUNT(ABC!$B$8:$B$507)=0,0,SUMIF(ABC!$D$8:$D$507,"&lt;="&amp;MIN(A281,COUNT(ABC!$B$8:$B$507)),ABC!$B$8:$B$507)/SUM(ABC!$B$8:$B$507))</f>
        <v/>
      </c>
    </row>
    <row r="282">
      <c r="A282" t="n">
        <v>279</v>
      </c>
      <c r="B282" s="13">
        <f>IF(COUNT(ABC!$B$8:$B$507)=0,0,MIN(A282,COUNT(ABC!$B$8:$B$507))/COUNT(ABC!$B$8:$B$507))</f>
        <v/>
      </c>
      <c r="C282" s="13">
        <f>IF(COUNT(ABC!$B$8:$B$507)=0,0,SUMIF(ABC!$D$8:$D$507,"&lt;="&amp;MIN(A282,COUNT(ABC!$B$8:$B$507)),ABC!$B$8:$B$507)/SUM(ABC!$B$8:$B$507))</f>
        <v/>
      </c>
    </row>
    <row r="283">
      <c r="A283" t="n">
        <v>280</v>
      </c>
      <c r="B283" s="13">
        <f>IF(COUNT(ABC!$B$8:$B$507)=0,0,MIN(A283,COUNT(ABC!$B$8:$B$507))/COUNT(ABC!$B$8:$B$507))</f>
        <v/>
      </c>
      <c r="C283" s="13">
        <f>IF(COUNT(ABC!$B$8:$B$507)=0,0,SUMIF(ABC!$D$8:$D$507,"&lt;="&amp;MIN(A283,COUNT(ABC!$B$8:$B$507)),ABC!$B$8:$B$507)/SUM(ABC!$B$8:$B$507))</f>
        <v/>
      </c>
    </row>
    <row r="284">
      <c r="A284" t="n">
        <v>281</v>
      </c>
      <c r="B284" s="13">
        <f>IF(COUNT(ABC!$B$8:$B$507)=0,0,MIN(A284,COUNT(ABC!$B$8:$B$507))/COUNT(ABC!$B$8:$B$507))</f>
        <v/>
      </c>
      <c r="C284" s="13">
        <f>IF(COUNT(ABC!$B$8:$B$507)=0,0,SUMIF(ABC!$D$8:$D$507,"&lt;="&amp;MIN(A284,COUNT(ABC!$B$8:$B$507)),ABC!$B$8:$B$507)/SUM(ABC!$B$8:$B$507))</f>
        <v/>
      </c>
    </row>
    <row r="285">
      <c r="A285" t="n">
        <v>282</v>
      </c>
      <c r="B285" s="13">
        <f>IF(COUNT(ABC!$B$8:$B$507)=0,0,MIN(A285,COUNT(ABC!$B$8:$B$507))/COUNT(ABC!$B$8:$B$507))</f>
        <v/>
      </c>
      <c r="C285" s="13">
        <f>IF(COUNT(ABC!$B$8:$B$507)=0,0,SUMIF(ABC!$D$8:$D$507,"&lt;="&amp;MIN(A285,COUNT(ABC!$B$8:$B$507)),ABC!$B$8:$B$507)/SUM(ABC!$B$8:$B$507))</f>
        <v/>
      </c>
    </row>
    <row r="286">
      <c r="A286" t="n">
        <v>283</v>
      </c>
      <c r="B286" s="13">
        <f>IF(COUNT(ABC!$B$8:$B$507)=0,0,MIN(A286,COUNT(ABC!$B$8:$B$507))/COUNT(ABC!$B$8:$B$507))</f>
        <v/>
      </c>
      <c r="C286" s="13">
        <f>IF(COUNT(ABC!$B$8:$B$507)=0,0,SUMIF(ABC!$D$8:$D$507,"&lt;="&amp;MIN(A286,COUNT(ABC!$B$8:$B$507)),ABC!$B$8:$B$507)/SUM(ABC!$B$8:$B$507))</f>
        <v/>
      </c>
    </row>
    <row r="287">
      <c r="A287" t="n">
        <v>284</v>
      </c>
      <c r="B287" s="13">
        <f>IF(COUNT(ABC!$B$8:$B$507)=0,0,MIN(A287,COUNT(ABC!$B$8:$B$507))/COUNT(ABC!$B$8:$B$507))</f>
        <v/>
      </c>
      <c r="C287" s="13">
        <f>IF(COUNT(ABC!$B$8:$B$507)=0,0,SUMIF(ABC!$D$8:$D$507,"&lt;="&amp;MIN(A287,COUNT(ABC!$B$8:$B$507)),ABC!$B$8:$B$507)/SUM(ABC!$B$8:$B$507))</f>
        <v/>
      </c>
    </row>
    <row r="288">
      <c r="A288" t="n">
        <v>285</v>
      </c>
      <c r="B288" s="13">
        <f>IF(COUNT(ABC!$B$8:$B$507)=0,0,MIN(A288,COUNT(ABC!$B$8:$B$507))/COUNT(ABC!$B$8:$B$507))</f>
        <v/>
      </c>
      <c r="C288" s="13">
        <f>IF(COUNT(ABC!$B$8:$B$507)=0,0,SUMIF(ABC!$D$8:$D$507,"&lt;="&amp;MIN(A288,COUNT(ABC!$B$8:$B$507)),ABC!$B$8:$B$507)/SUM(ABC!$B$8:$B$507))</f>
        <v/>
      </c>
    </row>
    <row r="289">
      <c r="A289" t="n">
        <v>286</v>
      </c>
      <c r="B289" s="13">
        <f>IF(COUNT(ABC!$B$8:$B$507)=0,0,MIN(A289,COUNT(ABC!$B$8:$B$507))/COUNT(ABC!$B$8:$B$507))</f>
        <v/>
      </c>
      <c r="C289" s="13">
        <f>IF(COUNT(ABC!$B$8:$B$507)=0,0,SUMIF(ABC!$D$8:$D$507,"&lt;="&amp;MIN(A289,COUNT(ABC!$B$8:$B$507)),ABC!$B$8:$B$507)/SUM(ABC!$B$8:$B$507))</f>
        <v/>
      </c>
    </row>
    <row r="290">
      <c r="A290" t="n">
        <v>287</v>
      </c>
      <c r="B290" s="13">
        <f>IF(COUNT(ABC!$B$8:$B$507)=0,0,MIN(A290,COUNT(ABC!$B$8:$B$507))/COUNT(ABC!$B$8:$B$507))</f>
        <v/>
      </c>
      <c r="C290" s="13">
        <f>IF(COUNT(ABC!$B$8:$B$507)=0,0,SUMIF(ABC!$D$8:$D$507,"&lt;="&amp;MIN(A290,COUNT(ABC!$B$8:$B$507)),ABC!$B$8:$B$507)/SUM(ABC!$B$8:$B$507))</f>
        <v/>
      </c>
    </row>
    <row r="291">
      <c r="A291" t="n">
        <v>288</v>
      </c>
      <c r="B291" s="13">
        <f>IF(COUNT(ABC!$B$8:$B$507)=0,0,MIN(A291,COUNT(ABC!$B$8:$B$507))/COUNT(ABC!$B$8:$B$507))</f>
        <v/>
      </c>
      <c r="C291" s="13">
        <f>IF(COUNT(ABC!$B$8:$B$507)=0,0,SUMIF(ABC!$D$8:$D$507,"&lt;="&amp;MIN(A291,COUNT(ABC!$B$8:$B$507)),ABC!$B$8:$B$507)/SUM(ABC!$B$8:$B$507))</f>
        <v/>
      </c>
    </row>
    <row r="292">
      <c r="A292" t="n">
        <v>289</v>
      </c>
      <c r="B292" s="13">
        <f>IF(COUNT(ABC!$B$8:$B$507)=0,0,MIN(A292,COUNT(ABC!$B$8:$B$507))/COUNT(ABC!$B$8:$B$507))</f>
        <v/>
      </c>
      <c r="C292" s="13">
        <f>IF(COUNT(ABC!$B$8:$B$507)=0,0,SUMIF(ABC!$D$8:$D$507,"&lt;="&amp;MIN(A292,COUNT(ABC!$B$8:$B$507)),ABC!$B$8:$B$507)/SUM(ABC!$B$8:$B$507))</f>
        <v/>
      </c>
    </row>
    <row r="293">
      <c r="A293" t="n">
        <v>290</v>
      </c>
      <c r="B293" s="13">
        <f>IF(COUNT(ABC!$B$8:$B$507)=0,0,MIN(A293,COUNT(ABC!$B$8:$B$507))/COUNT(ABC!$B$8:$B$507))</f>
        <v/>
      </c>
      <c r="C293" s="13">
        <f>IF(COUNT(ABC!$B$8:$B$507)=0,0,SUMIF(ABC!$D$8:$D$507,"&lt;="&amp;MIN(A293,COUNT(ABC!$B$8:$B$507)),ABC!$B$8:$B$507)/SUM(ABC!$B$8:$B$507))</f>
        <v/>
      </c>
    </row>
    <row r="294">
      <c r="A294" t="n">
        <v>291</v>
      </c>
      <c r="B294" s="13">
        <f>IF(COUNT(ABC!$B$8:$B$507)=0,0,MIN(A294,COUNT(ABC!$B$8:$B$507))/COUNT(ABC!$B$8:$B$507))</f>
        <v/>
      </c>
      <c r="C294" s="13">
        <f>IF(COUNT(ABC!$B$8:$B$507)=0,0,SUMIF(ABC!$D$8:$D$507,"&lt;="&amp;MIN(A294,COUNT(ABC!$B$8:$B$507)),ABC!$B$8:$B$507)/SUM(ABC!$B$8:$B$507))</f>
        <v/>
      </c>
    </row>
    <row r="295">
      <c r="A295" t="n">
        <v>292</v>
      </c>
      <c r="B295" s="13">
        <f>IF(COUNT(ABC!$B$8:$B$507)=0,0,MIN(A295,COUNT(ABC!$B$8:$B$507))/COUNT(ABC!$B$8:$B$507))</f>
        <v/>
      </c>
      <c r="C295" s="13">
        <f>IF(COUNT(ABC!$B$8:$B$507)=0,0,SUMIF(ABC!$D$8:$D$507,"&lt;="&amp;MIN(A295,COUNT(ABC!$B$8:$B$507)),ABC!$B$8:$B$507)/SUM(ABC!$B$8:$B$507))</f>
        <v/>
      </c>
    </row>
    <row r="296">
      <c r="A296" t="n">
        <v>293</v>
      </c>
      <c r="B296" s="13">
        <f>IF(COUNT(ABC!$B$8:$B$507)=0,0,MIN(A296,COUNT(ABC!$B$8:$B$507))/COUNT(ABC!$B$8:$B$507))</f>
        <v/>
      </c>
      <c r="C296" s="13">
        <f>IF(COUNT(ABC!$B$8:$B$507)=0,0,SUMIF(ABC!$D$8:$D$507,"&lt;="&amp;MIN(A296,COUNT(ABC!$B$8:$B$507)),ABC!$B$8:$B$507)/SUM(ABC!$B$8:$B$507))</f>
        <v/>
      </c>
    </row>
    <row r="297">
      <c r="A297" t="n">
        <v>294</v>
      </c>
      <c r="B297" s="13">
        <f>IF(COUNT(ABC!$B$8:$B$507)=0,0,MIN(A297,COUNT(ABC!$B$8:$B$507))/COUNT(ABC!$B$8:$B$507))</f>
        <v/>
      </c>
      <c r="C297" s="13">
        <f>IF(COUNT(ABC!$B$8:$B$507)=0,0,SUMIF(ABC!$D$8:$D$507,"&lt;="&amp;MIN(A297,COUNT(ABC!$B$8:$B$507)),ABC!$B$8:$B$507)/SUM(ABC!$B$8:$B$507))</f>
        <v/>
      </c>
    </row>
    <row r="298">
      <c r="A298" t="n">
        <v>295</v>
      </c>
      <c r="B298" s="13">
        <f>IF(COUNT(ABC!$B$8:$B$507)=0,0,MIN(A298,COUNT(ABC!$B$8:$B$507))/COUNT(ABC!$B$8:$B$507))</f>
        <v/>
      </c>
      <c r="C298" s="13">
        <f>IF(COUNT(ABC!$B$8:$B$507)=0,0,SUMIF(ABC!$D$8:$D$507,"&lt;="&amp;MIN(A298,COUNT(ABC!$B$8:$B$507)),ABC!$B$8:$B$507)/SUM(ABC!$B$8:$B$507))</f>
        <v/>
      </c>
    </row>
    <row r="299">
      <c r="A299" t="n">
        <v>296</v>
      </c>
      <c r="B299" s="13">
        <f>IF(COUNT(ABC!$B$8:$B$507)=0,0,MIN(A299,COUNT(ABC!$B$8:$B$507))/COUNT(ABC!$B$8:$B$507))</f>
        <v/>
      </c>
      <c r="C299" s="13">
        <f>IF(COUNT(ABC!$B$8:$B$507)=0,0,SUMIF(ABC!$D$8:$D$507,"&lt;="&amp;MIN(A299,COUNT(ABC!$B$8:$B$507)),ABC!$B$8:$B$507)/SUM(ABC!$B$8:$B$507))</f>
        <v/>
      </c>
    </row>
    <row r="300">
      <c r="A300" t="n">
        <v>297</v>
      </c>
      <c r="B300" s="13">
        <f>IF(COUNT(ABC!$B$8:$B$507)=0,0,MIN(A300,COUNT(ABC!$B$8:$B$507))/COUNT(ABC!$B$8:$B$507))</f>
        <v/>
      </c>
      <c r="C300" s="13">
        <f>IF(COUNT(ABC!$B$8:$B$507)=0,0,SUMIF(ABC!$D$8:$D$507,"&lt;="&amp;MIN(A300,COUNT(ABC!$B$8:$B$507)),ABC!$B$8:$B$507)/SUM(ABC!$B$8:$B$507))</f>
        <v/>
      </c>
    </row>
    <row r="301">
      <c r="A301" t="n">
        <v>298</v>
      </c>
      <c r="B301" s="13">
        <f>IF(COUNT(ABC!$B$8:$B$507)=0,0,MIN(A301,COUNT(ABC!$B$8:$B$507))/COUNT(ABC!$B$8:$B$507))</f>
        <v/>
      </c>
      <c r="C301" s="13">
        <f>IF(COUNT(ABC!$B$8:$B$507)=0,0,SUMIF(ABC!$D$8:$D$507,"&lt;="&amp;MIN(A301,COUNT(ABC!$B$8:$B$507)),ABC!$B$8:$B$507)/SUM(ABC!$B$8:$B$507))</f>
        <v/>
      </c>
    </row>
    <row r="302">
      <c r="A302" t="n">
        <v>299</v>
      </c>
      <c r="B302" s="13">
        <f>IF(COUNT(ABC!$B$8:$B$507)=0,0,MIN(A302,COUNT(ABC!$B$8:$B$507))/COUNT(ABC!$B$8:$B$507))</f>
        <v/>
      </c>
      <c r="C302" s="13">
        <f>IF(COUNT(ABC!$B$8:$B$507)=0,0,SUMIF(ABC!$D$8:$D$507,"&lt;="&amp;MIN(A302,COUNT(ABC!$B$8:$B$507)),ABC!$B$8:$B$507)/SUM(ABC!$B$8:$B$507))</f>
        <v/>
      </c>
    </row>
    <row r="303">
      <c r="A303" t="n">
        <v>300</v>
      </c>
      <c r="B303" s="13">
        <f>IF(COUNT(ABC!$B$8:$B$507)=0,0,MIN(A303,COUNT(ABC!$B$8:$B$507))/COUNT(ABC!$B$8:$B$507))</f>
        <v/>
      </c>
      <c r="C303" s="13">
        <f>IF(COUNT(ABC!$B$8:$B$507)=0,0,SUMIF(ABC!$D$8:$D$507,"&lt;="&amp;MIN(A303,COUNT(ABC!$B$8:$B$507)),ABC!$B$8:$B$507)/SUM(ABC!$B$8:$B$507))</f>
        <v/>
      </c>
    </row>
    <row r="304">
      <c r="A304" t="n">
        <v>301</v>
      </c>
      <c r="B304" s="13">
        <f>IF(COUNT(ABC!$B$8:$B$507)=0,0,MIN(A304,COUNT(ABC!$B$8:$B$507))/COUNT(ABC!$B$8:$B$507))</f>
        <v/>
      </c>
      <c r="C304" s="13">
        <f>IF(COUNT(ABC!$B$8:$B$507)=0,0,SUMIF(ABC!$D$8:$D$507,"&lt;="&amp;MIN(A304,COUNT(ABC!$B$8:$B$507)),ABC!$B$8:$B$507)/SUM(ABC!$B$8:$B$507))</f>
        <v/>
      </c>
    </row>
    <row r="305">
      <c r="A305" t="n">
        <v>302</v>
      </c>
      <c r="B305" s="13">
        <f>IF(COUNT(ABC!$B$8:$B$507)=0,0,MIN(A305,COUNT(ABC!$B$8:$B$507))/COUNT(ABC!$B$8:$B$507))</f>
        <v/>
      </c>
      <c r="C305" s="13">
        <f>IF(COUNT(ABC!$B$8:$B$507)=0,0,SUMIF(ABC!$D$8:$D$507,"&lt;="&amp;MIN(A305,COUNT(ABC!$B$8:$B$507)),ABC!$B$8:$B$507)/SUM(ABC!$B$8:$B$507))</f>
        <v/>
      </c>
    </row>
    <row r="306">
      <c r="A306" t="n">
        <v>303</v>
      </c>
      <c r="B306" s="13">
        <f>IF(COUNT(ABC!$B$8:$B$507)=0,0,MIN(A306,COUNT(ABC!$B$8:$B$507))/COUNT(ABC!$B$8:$B$507))</f>
        <v/>
      </c>
      <c r="C306" s="13">
        <f>IF(COUNT(ABC!$B$8:$B$507)=0,0,SUMIF(ABC!$D$8:$D$507,"&lt;="&amp;MIN(A306,COUNT(ABC!$B$8:$B$507)),ABC!$B$8:$B$507)/SUM(ABC!$B$8:$B$507))</f>
        <v/>
      </c>
    </row>
    <row r="307">
      <c r="A307" t="n">
        <v>304</v>
      </c>
      <c r="B307" s="13">
        <f>IF(COUNT(ABC!$B$8:$B$507)=0,0,MIN(A307,COUNT(ABC!$B$8:$B$507))/COUNT(ABC!$B$8:$B$507))</f>
        <v/>
      </c>
      <c r="C307" s="13">
        <f>IF(COUNT(ABC!$B$8:$B$507)=0,0,SUMIF(ABC!$D$8:$D$507,"&lt;="&amp;MIN(A307,COUNT(ABC!$B$8:$B$507)),ABC!$B$8:$B$507)/SUM(ABC!$B$8:$B$507))</f>
        <v/>
      </c>
    </row>
    <row r="308">
      <c r="A308" t="n">
        <v>305</v>
      </c>
      <c r="B308" s="13">
        <f>IF(COUNT(ABC!$B$8:$B$507)=0,0,MIN(A308,COUNT(ABC!$B$8:$B$507))/COUNT(ABC!$B$8:$B$507))</f>
        <v/>
      </c>
      <c r="C308" s="13">
        <f>IF(COUNT(ABC!$B$8:$B$507)=0,0,SUMIF(ABC!$D$8:$D$507,"&lt;="&amp;MIN(A308,COUNT(ABC!$B$8:$B$507)),ABC!$B$8:$B$507)/SUM(ABC!$B$8:$B$507))</f>
        <v/>
      </c>
    </row>
    <row r="309">
      <c r="A309" t="n">
        <v>306</v>
      </c>
      <c r="B309" s="13">
        <f>IF(COUNT(ABC!$B$8:$B$507)=0,0,MIN(A309,COUNT(ABC!$B$8:$B$507))/COUNT(ABC!$B$8:$B$507))</f>
        <v/>
      </c>
      <c r="C309" s="13">
        <f>IF(COUNT(ABC!$B$8:$B$507)=0,0,SUMIF(ABC!$D$8:$D$507,"&lt;="&amp;MIN(A309,COUNT(ABC!$B$8:$B$507)),ABC!$B$8:$B$507)/SUM(ABC!$B$8:$B$507))</f>
        <v/>
      </c>
    </row>
    <row r="310">
      <c r="A310" t="n">
        <v>307</v>
      </c>
      <c r="B310" s="13">
        <f>IF(COUNT(ABC!$B$8:$B$507)=0,0,MIN(A310,COUNT(ABC!$B$8:$B$507))/COUNT(ABC!$B$8:$B$507))</f>
        <v/>
      </c>
      <c r="C310" s="13">
        <f>IF(COUNT(ABC!$B$8:$B$507)=0,0,SUMIF(ABC!$D$8:$D$507,"&lt;="&amp;MIN(A310,COUNT(ABC!$B$8:$B$507)),ABC!$B$8:$B$507)/SUM(ABC!$B$8:$B$507))</f>
        <v/>
      </c>
    </row>
    <row r="311">
      <c r="A311" t="n">
        <v>308</v>
      </c>
      <c r="B311" s="13">
        <f>IF(COUNT(ABC!$B$8:$B$507)=0,0,MIN(A311,COUNT(ABC!$B$8:$B$507))/COUNT(ABC!$B$8:$B$507))</f>
        <v/>
      </c>
      <c r="C311" s="13">
        <f>IF(COUNT(ABC!$B$8:$B$507)=0,0,SUMIF(ABC!$D$8:$D$507,"&lt;="&amp;MIN(A311,COUNT(ABC!$B$8:$B$507)),ABC!$B$8:$B$507)/SUM(ABC!$B$8:$B$507))</f>
        <v/>
      </c>
    </row>
    <row r="312">
      <c r="A312" t="n">
        <v>309</v>
      </c>
      <c r="B312" s="13">
        <f>IF(COUNT(ABC!$B$8:$B$507)=0,0,MIN(A312,COUNT(ABC!$B$8:$B$507))/COUNT(ABC!$B$8:$B$507))</f>
        <v/>
      </c>
      <c r="C312" s="13">
        <f>IF(COUNT(ABC!$B$8:$B$507)=0,0,SUMIF(ABC!$D$8:$D$507,"&lt;="&amp;MIN(A312,COUNT(ABC!$B$8:$B$507)),ABC!$B$8:$B$507)/SUM(ABC!$B$8:$B$507))</f>
        <v/>
      </c>
    </row>
    <row r="313">
      <c r="A313" t="n">
        <v>310</v>
      </c>
      <c r="B313" s="13">
        <f>IF(COUNT(ABC!$B$8:$B$507)=0,0,MIN(A313,COUNT(ABC!$B$8:$B$507))/COUNT(ABC!$B$8:$B$507))</f>
        <v/>
      </c>
      <c r="C313" s="13">
        <f>IF(COUNT(ABC!$B$8:$B$507)=0,0,SUMIF(ABC!$D$8:$D$507,"&lt;="&amp;MIN(A313,COUNT(ABC!$B$8:$B$507)),ABC!$B$8:$B$507)/SUM(ABC!$B$8:$B$507))</f>
        <v/>
      </c>
    </row>
    <row r="314">
      <c r="A314" t="n">
        <v>311</v>
      </c>
      <c r="B314" s="13">
        <f>IF(COUNT(ABC!$B$8:$B$507)=0,0,MIN(A314,COUNT(ABC!$B$8:$B$507))/COUNT(ABC!$B$8:$B$507))</f>
        <v/>
      </c>
      <c r="C314" s="13">
        <f>IF(COUNT(ABC!$B$8:$B$507)=0,0,SUMIF(ABC!$D$8:$D$507,"&lt;="&amp;MIN(A314,COUNT(ABC!$B$8:$B$507)),ABC!$B$8:$B$507)/SUM(ABC!$B$8:$B$507))</f>
        <v/>
      </c>
    </row>
    <row r="315">
      <c r="A315" t="n">
        <v>312</v>
      </c>
      <c r="B315" s="13">
        <f>IF(COUNT(ABC!$B$8:$B$507)=0,0,MIN(A315,COUNT(ABC!$B$8:$B$507))/COUNT(ABC!$B$8:$B$507))</f>
        <v/>
      </c>
      <c r="C315" s="13">
        <f>IF(COUNT(ABC!$B$8:$B$507)=0,0,SUMIF(ABC!$D$8:$D$507,"&lt;="&amp;MIN(A315,COUNT(ABC!$B$8:$B$507)),ABC!$B$8:$B$507)/SUM(ABC!$B$8:$B$507))</f>
        <v/>
      </c>
    </row>
    <row r="316">
      <c r="A316" t="n">
        <v>313</v>
      </c>
      <c r="B316" s="13">
        <f>IF(COUNT(ABC!$B$8:$B$507)=0,0,MIN(A316,COUNT(ABC!$B$8:$B$507))/COUNT(ABC!$B$8:$B$507))</f>
        <v/>
      </c>
      <c r="C316" s="13">
        <f>IF(COUNT(ABC!$B$8:$B$507)=0,0,SUMIF(ABC!$D$8:$D$507,"&lt;="&amp;MIN(A316,COUNT(ABC!$B$8:$B$507)),ABC!$B$8:$B$507)/SUM(ABC!$B$8:$B$507))</f>
        <v/>
      </c>
    </row>
    <row r="317">
      <c r="A317" t="n">
        <v>314</v>
      </c>
      <c r="B317" s="13">
        <f>IF(COUNT(ABC!$B$8:$B$507)=0,0,MIN(A317,COUNT(ABC!$B$8:$B$507))/COUNT(ABC!$B$8:$B$507))</f>
        <v/>
      </c>
      <c r="C317" s="13">
        <f>IF(COUNT(ABC!$B$8:$B$507)=0,0,SUMIF(ABC!$D$8:$D$507,"&lt;="&amp;MIN(A317,COUNT(ABC!$B$8:$B$507)),ABC!$B$8:$B$507)/SUM(ABC!$B$8:$B$507))</f>
        <v/>
      </c>
    </row>
    <row r="318">
      <c r="A318" t="n">
        <v>315</v>
      </c>
      <c r="B318" s="13">
        <f>IF(COUNT(ABC!$B$8:$B$507)=0,0,MIN(A318,COUNT(ABC!$B$8:$B$507))/COUNT(ABC!$B$8:$B$507))</f>
        <v/>
      </c>
      <c r="C318" s="13">
        <f>IF(COUNT(ABC!$B$8:$B$507)=0,0,SUMIF(ABC!$D$8:$D$507,"&lt;="&amp;MIN(A318,COUNT(ABC!$B$8:$B$507)),ABC!$B$8:$B$507)/SUM(ABC!$B$8:$B$507))</f>
        <v/>
      </c>
    </row>
    <row r="319">
      <c r="A319" t="n">
        <v>316</v>
      </c>
      <c r="B319" s="13">
        <f>IF(COUNT(ABC!$B$8:$B$507)=0,0,MIN(A319,COUNT(ABC!$B$8:$B$507))/COUNT(ABC!$B$8:$B$507))</f>
        <v/>
      </c>
      <c r="C319" s="13">
        <f>IF(COUNT(ABC!$B$8:$B$507)=0,0,SUMIF(ABC!$D$8:$D$507,"&lt;="&amp;MIN(A319,COUNT(ABC!$B$8:$B$507)),ABC!$B$8:$B$507)/SUM(ABC!$B$8:$B$507))</f>
        <v/>
      </c>
    </row>
    <row r="320">
      <c r="A320" t="n">
        <v>317</v>
      </c>
      <c r="B320" s="13">
        <f>IF(COUNT(ABC!$B$8:$B$507)=0,0,MIN(A320,COUNT(ABC!$B$8:$B$507))/COUNT(ABC!$B$8:$B$507))</f>
        <v/>
      </c>
      <c r="C320" s="13">
        <f>IF(COUNT(ABC!$B$8:$B$507)=0,0,SUMIF(ABC!$D$8:$D$507,"&lt;="&amp;MIN(A320,COUNT(ABC!$B$8:$B$507)),ABC!$B$8:$B$507)/SUM(ABC!$B$8:$B$507))</f>
        <v/>
      </c>
    </row>
    <row r="321">
      <c r="A321" t="n">
        <v>318</v>
      </c>
      <c r="B321" s="13">
        <f>IF(COUNT(ABC!$B$8:$B$507)=0,0,MIN(A321,COUNT(ABC!$B$8:$B$507))/COUNT(ABC!$B$8:$B$507))</f>
        <v/>
      </c>
      <c r="C321" s="13">
        <f>IF(COUNT(ABC!$B$8:$B$507)=0,0,SUMIF(ABC!$D$8:$D$507,"&lt;="&amp;MIN(A321,COUNT(ABC!$B$8:$B$507)),ABC!$B$8:$B$507)/SUM(ABC!$B$8:$B$507))</f>
        <v/>
      </c>
    </row>
    <row r="322">
      <c r="A322" t="n">
        <v>319</v>
      </c>
      <c r="B322" s="13">
        <f>IF(COUNT(ABC!$B$8:$B$507)=0,0,MIN(A322,COUNT(ABC!$B$8:$B$507))/COUNT(ABC!$B$8:$B$507))</f>
        <v/>
      </c>
      <c r="C322" s="13">
        <f>IF(COUNT(ABC!$B$8:$B$507)=0,0,SUMIF(ABC!$D$8:$D$507,"&lt;="&amp;MIN(A322,COUNT(ABC!$B$8:$B$507)),ABC!$B$8:$B$507)/SUM(ABC!$B$8:$B$507))</f>
        <v/>
      </c>
    </row>
    <row r="323">
      <c r="A323" t="n">
        <v>320</v>
      </c>
      <c r="B323" s="13">
        <f>IF(COUNT(ABC!$B$8:$B$507)=0,0,MIN(A323,COUNT(ABC!$B$8:$B$507))/COUNT(ABC!$B$8:$B$507))</f>
        <v/>
      </c>
      <c r="C323" s="13">
        <f>IF(COUNT(ABC!$B$8:$B$507)=0,0,SUMIF(ABC!$D$8:$D$507,"&lt;="&amp;MIN(A323,COUNT(ABC!$B$8:$B$507)),ABC!$B$8:$B$507)/SUM(ABC!$B$8:$B$507))</f>
        <v/>
      </c>
    </row>
    <row r="324">
      <c r="A324" t="n">
        <v>321</v>
      </c>
      <c r="B324" s="13">
        <f>IF(COUNT(ABC!$B$8:$B$507)=0,0,MIN(A324,COUNT(ABC!$B$8:$B$507))/COUNT(ABC!$B$8:$B$507))</f>
        <v/>
      </c>
      <c r="C324" s="13">
        <f>IF(COUNT(ABC!$B$8:$B$507)=0,0,SUMIF(ABC!$D$8:$D$507,"&lt;="&amp;MIN(A324,COUNT(ABC!$B$8:$B$507)),ABC!$B$8:$B$507)/SUM(ABC!$B$8:$B$507))</f>
        <v/>
      </c>
    </row>
    <row r="325">
      <c r="A325" t="n">
        <v>322</v>
      </c>
      <c r="B325" s="13">
        <f>IF(COUNT(ABC!$B$8:$B$507)=0,0,MIN(A325,COUNT(ABC!$B$8:$B$507))/COUNT(ABC!$B$8:$B$507))</f>
        <v/>
      </c>
      <c r="C325" s="13">
        <f>IF(COUNT(ABC!$B$8:$B$507)=0,0,SUMIF(ABC!$D$8:$D$507,"&lt;="&amp;MIN(A325,COUNT(ABC!$B$8:$B$507)),ABC!$B$8:$B$507)/SUM(ABC!$B$8:$B$507))</f>
        <v/>
      </c>
    </row>
    <row r="326">
      <c r="A326" t="n">
        <v>323</v>
      </c>
      <c r="B326" s="13">
        <f>IF(COUNT(ABC!$B$8:$B$507)=0,0,MIN(A326,COUNT(ABC!$B$8:$B$507))/COUNT(ABC!$B$8:$B$507))</f>
        <v/>
      </c>
      <c r="C326" s="13">
        <f>IF(COUNT(ABC!$B$8:$B$507)=0,0,SUMIF(ABC!$D$8:$D$507,"&lt;="&amp;MIN(A326,COUNT(ABC!$B$8:$B$507)),ABC!$B$8:$B$507)/SUM(ABC!$B$8:$B$507))</f>
        <v/>
      </c>
    </row>
    <row r="327">
      <c r="A327" t="n">
        <v>324</v>
      </c>
      <c r="B327" s="13">
        <f>IF(COUNT(ABC!$B$8:$B$507)=0,0,MIN(A327,COUNT(ABC!$B$8:$B$507))/COUNT(ABC!$B$8:$B$507))</f>
        <v/>
      </c>
      <c r="C327" s="13">
        <f>IF(COUNT(ABC!$B$8:$B$507)=0,0,SUMIF(ABC!$D$8:$D$507,"&lt;="&amp;MIN(A327,COUNT(ABC!$B$8:$B$507)),ABC!$B$8:$B$507)/SUM(ABC!$B$8:$B$507))</f>
        <v/>
      </c>
    </row>
    <row r="328">
      <c r="A328" t="n">
        <v>325</v>
      </c>
      <c r="B328" s="13">
        <f>IF(COUNT(ABC!$B$8:$B$507)=0,0,MIN(A328,COUNT(ABC!$B$8:$B$507))/COUNT(ABC!$B$8:$B$507))</f>
        <v/>
      </c>
      <c r="C328" s="13">
        <f>IF(COUNT(ABC!$B$8:$B$507)=0,0,SUMIF(ABC!$D$8:$D$507,"&lt;="&amp;MIN(A328,COUNT(ABC!$B$8:$B$507)),ABC!$B$8:$B$507)/SUM(ABC!$B$8:$B$507))</f>
        <v/>
      </c>
    </row>
    <row r="329">
      <c r="A329" t="n">
        <v>326</v>
      </c>
      <c r="B329" s="13">
        <f>IF(COUNT(ABC!$B$8:$B$507)=0,0,MIN(A329,COUNT(ABC!$B$8:$B$507))/COUNT(ABC!$B$8:$B$507))</f>
        <v/>
      </c>
      <c r="C329" s="13">
        <f>IF(COUNT(ABC!$B$8:$B$507)=0,0,SUMIF(ABC!$D$8:$D$507,"&lt;="&amp;MIN(A329,COUNT(ABC!$B$8:$B$507)),ABC!$B$8:$B$507)/SUM(ABC!$B$8:$B$507))</f>
        <v/>
      </c>
    </row>
    <row r="330">
      <c r="A330" t="n">
        <v>327</v>
      </c>
      <c r="B330" s="13">
        <f>IF(COUNT(ABC!$B$8:$B$507)=0,0,MIN(A330,COUNT(ABC!$B$8:$B$507))/COUNT(ABC!$B$8:$B$507))</f>
        <v/>
      </c>
      <c r="C330" s="13">
        <f>IF(COUNT(ABC!$B$8:$B$507)=0,0,SUMIF(ABC!$D$8:$D$507,"&lt;="&amp;MIN(A330,COUNT(ABC!$B$8:$B$507)),ABC!$B$8:$B$507)/SUM(ABC!$B$8:$B$507))</f>
        <v/>
      </c>
    </row>
    <row r="331">
      <c r="A331" t="n">
        <v>328</v>
      </c>
      <c r="B331" s="13">
        <f>IF(COUNT(ABC!$B$8:$B$507)=0,0,MIN(A331,COUNT(ABC!$B$8:$B$507))/COUNT(ABC!$B$8:$B$507))</f>
        <v/>
      </c>
      <c r="C331" s="13">
        <f>IF(COUNT(ABC!$B$8:$B$507)=0,0,SUMIF(ABC!$D$8:$D$507,"&lt;="&amp;MIN(A331,COUNT(ABC!$B$8:$B$507)),ABC!$B$8:$B$507)/SUM(ABC!$B$8:$B$507))</f>
        <v/>
      </c>
    </row>
    <row r="332">
      <c r="A332" t="n">
        <v>329</v>
      </c>
      <c r="B332" s="13">
        <f>IF(COUNT(ABC!$B$8:$B$507)=0,0,MIN(A332,COUNT(ABC!$B$8:$B$507))/COUNT(ABC!$B$8:$B$507))</f>
        <v/>
      </c>
      <c r="C332" s="13">
        <f>IF(COUNT(ABC!$B$8:$B$507)=0,0,SUMIF(ABC!$D$8:$D$507,"&lt;="&amp;MIN(A332,COUNT(ABC!$B$8:$B$507)),ABC!$B$8:$B$507)/SUM(ABC!$B$8:$B$507))</f>
        <v/>
      </c>
    </row>
    <row r="333">
      <c r="A333" t="n">
        <v>330</v>
      </c>
      <c r="B333" s="13">
        <f>IF(COUNT(ABC!$B$8:$B$507)=0,0,MIN(A333,COUNT(ABC!$B$8:$B$507))/COUNT(ABC!$B$8:$B$507))</f>
        <v/>
      </c>
      <c r="C333" s="13">
        <f>IF(COUNT(ABC!$B$8:$B$507)=0,0,SUMIF(ABC!$D$8:$D$507,"&lt;="&amp;MIN(A333,COUNT(ABC!$B$8:$B$507)),ABC!$B$8:$B$507)/SUM(ABC!$B$8:$B$507))</f>
        <v/>
      </c>
    </row>
    <row r="334">
      <c r="A334" t="n">
        <v>331</v>
      </c>
      <c r="B334" s="13">
        <f>IF(COUNT(ABC!$B$8:$B$507)=0,0,MIN(A334,COUNT(ABC!$B$8:$B$507))/COUNT(ABC!$B$8:$B$507))</f>
        <v/>
      </c>
      <c r="C334" s="13">
        <f>IF(COUNT(ABC!$B$8:$B$507)=0,0,SUMIF(ABC!$D$8:$D$507,"&lt;="&amp;MIN(A334,COUNT(ABC!$B$8:$B$507)),ABC!$B$8:$B$507)/SUM(ABC!$B$8:$B$507))</f>
        <v/>
      </c>
    </row>
    <row r="335">
      <c r="A335" t="n">
        <v>332</v>
      </c>
      <c r="B335" s="13">
        <f>IF(COUNT(ABC!$B$8:$B$507)=0,0,MIN(A335,COUNT(ABC!$B$8:$B$507))/COUNT(ABC!$B$8:$B$507))</f>
        <v/>
      </c>
      <c r="C335" s="13">
        <f>IF(COUNT(ABC!$B$8:$B$507)=0,0,SUMIF(ABC!$D$8:$D$507,"&lt;="&amp;MIN(A335,COUNT(ABC!$B$8:$B$507)),ABC!$B$8:$B$507)/SUM(ABC!$B$8:$B$507))</f>
        <v/>
      </c>
    </row>
    <row r="336">
      <c r="A336" t="n">
        <v>333</v>
      </c>
      <c r="B336" s="13">
        <f>IF(COUNT(ABC!$B$8:$B$507)=0,0,MIN(A336,COUNT(ABC!$B$8:$B$507))/COUNT(ABC!$B$8:$B$507))</f>
        <v/>
      </c>
      <c r="C336" s="13">
        <f>IF(COUNT(ABC!$B$8:$B$507)=0,0,SUMIF(ABC!$D$8:$D$507,"&lt;="&amp;MIN(A336,COUNT(ABC!$B$8:$B$507)),ABC!$B$8:$B$507)/SUM(ABC!$B$8:$B$507))</f>
        <v/>
      </c>
    </row>
    <row r="337">
      <c r="A337" t="n">
        <v>334</v>
      </c>
      <c r="B337" s="13">
        <f>IF(COUNT(ABC!$B$8:$B$507)=0,0,MIN(A337,COUNT(ABC!$B$8:$B$507))/COUNT(ABC!$B$8:$B$507))</f>
        <v/>
      </c>
      <c r="C337" s="13">
        <f>IF(COUNT(ABC!$B$8:$B$507)=0,0,SUMIF(ABC!$D$8:$D$507,"&lt;="&amp;MIN(A337,COUNT(ABC!$B$8:$B$507)),ABC!$B$8:$B$507)/SUM(ABC!$B$8:$B$507))</f>
        <v/>
      </c>
    </row>
    <row r="338">
      <c r="A338" t="n">
        <v>335</v>
      </c>
      <c r="B338" s="13">
        <f>IF(COUNT(ABC!$B$8:$B$507)=0,0,MIN(A338,COUNT(ABC!$B$8:$B$507))/COUNT(ABC!$B$8:$B$507))</f>
        <v/>
      </c>
      <c r="C338" s="13">
        <f>IF(COUNT(ABC!$B$8:$B$507)=0,0,SUMIF(ABC!$D$8:$D$507,"&lt;="&amp;MIN(A338,COUNT(ABC!$B$8:$B$507)),ABC!$B$8:$B$507)/SUM(ABC!$B$8:$B$507))</f>
        <v/>
      </c>
    </row>
    <row r="339">
      <c r="A339" t="n">
        <v>336</v>
      </c>
      <c r="B339" s="13">
        <f>IF(COUNT(ABC!$B$8:$B$507)=0,0,MIN(A339,COUNT(ABC!$B$8:$B$507))/COUNT(ABC!$B$8:$B$507))</f>
        <v/>
      </c>
      <c r="C339" s="13">
        <f>IF(COUNT(ABC!$B$8:$B$507)=0,0,SUMIF(ABC!$D$8:$D$507,"&lt;="&amp;MIN(A339,COUNT(ABC!$B$8:$B$507)),ABC!$B$8:$B$507)/SUM(ABC!$B$8:$B$507))</f>
        <v/>
      </c>
    </row>
    <row r="340">
      <c r="A340" t="n">
        <v>337</v>
      </c>
      <c r="B340" s="13">
        <f>IF(COUNT(ABC!$B$8:$B$507)=0,0,MIN(A340,COUNT(ABC!$B$8:$B$507))/COUNT(ABC!$B$8:$B$507))</f>
        <v/>
      </c>
      <c r="C340" s="13">
        <f>IF(COUNT(ABC!$B$8:$B$507)=0,0,SUMIF(ABC!$D$8:$D$507,"&lt;="&amp;MIN(A340,COUNT(ABC!$B$8:$B$507)),ABC!$B$8:$B$507)/SUM(ABC!$B$8:$B$507))</f>
        <v/>
      </c>
    </row>
    <row r="341">
      <c r="A341" t="n">
        <v>338</v>
      </c>
      <c r="B341" s="13">
        <f>IF(COUNT(ABC!$B$8:$B$507)=0,0,MIN(A341,COUNT(ABC!$B$8:$B$507))/COUNT(ABC!$B$8:$B$507))</f>
        <v/>
      </c>
      <c r="C341" s="13">
        <f>IF(COUNT(ABC!$B$8:$B$507)=0,0,SUMIF(ABC!$D$8:$D$507,"&lt;="&amp;MIN(A341,COUNT(ABC!$B$8:$B$507)),ABC!$B$8:$B$507)/SUM(ABC!$B$8:$B$507))</f>
        <v/>
      </c>
    </row>
    <row r="342">
      <c r="A342" t="n">
        <v>339</v>
      </c>
      <c r="B342" s="13">
        <f>IF(COUNT(ABC!$B$8:$B$507)=0,0,MIN(A342,COUNT(ABC!$B$8:$B$507))/COUNT(ABC!$B$8:$B$507))</f>
        <v/>
      </c>
      <c r="C342" s="13">
        <f>IF(COUNT(ABC!$B$8:$B$507)=0,0,SUMIF(ABC!$D$8:$D$507,"&lt;="&amp;MIN(A342,COUNT(ABC!$B$8:$B$507)),ABC!$B$8:$B$507)/SUM(ABC!$B$8:$B$507))</f>
        <v/>
      </c>
    </row>
    <row r="343">
      <c r="A343" t="n">
        <v>340</v>
      </c>
      <c r="B343" s="13">
        <f>IF(COUNT(ABC!$B$8:$B$507)=0,0,MIN(A343,COUNT(ABC!$B$8:$B$507))/COUNT(ABC!$B$8:$B$507))</f>
        <v/>
      </c>
      <c r="C343" s="13">
        <f>IF(COUNT(ABC!$B$8:$B$507)=0,0,SUMIF(ABC!$D$8:$D$507,"&lt;="&amp;MIN(A343,COUNT(ABC!$B$8:$B$507)),ABC!$B$8:$B$507)/SUM(ABC!$B$8:$B$507))</f>
        <v/>
      </c>
    </row>
    <row r="344">
      <c r="A344" t="n">
        <v>341</v>
      </c>
      <c r="B344" s="13">
        <f>IF(COUNT(ABC!$B$8:$B$507)=0,0,MIN(A344,COUNT(ABC!$B$8:$B$507))/COUNT(ABC!$B$8:$B$507))</f>
        <v/>
      </c>
      <c r="C344" s="13">
        <f>IF(COUNT(ABC!$B$8:$B$507)=0,0,SUMIF(ABC!$D$8:$D$507,"&lt;="&amp;MIN(A344,COUNT(ABC!$B$8:$B$507)),ABC!$B$8:$B$507)/SUM(ABC!$B$8:$B$507))</f>
        <v/>
      </c>
    </row>
    <row r="345">
      <c r="A345" t="n">
        <v>342</v>
      </c>
      <c r="B345" s="13">
        <f>IF(COUNT(ABC!$B$8:$B$507)=0,0,MIN(A345,COUNT(ABC!$B$8:$B$507))/COUNT(ABC!$B$8:$B$507))</f>
        <v/>
      </c>
      <c r="C345" s="13">
        <f>IF(COUNT(ABC!$B$8:$B$507)=0,0,SUMIF(ABC!$D$8:$D$507,"&lt;="&amp;MIN(A345,COUNT(ABC!$B$8:$B$507)),ABC!$B$8:$B$507)/SUM(ABC!$B$8:$B$507))</f>
        <v/>
      </c>
    </row>
    <row r="346">
      <c r="A346" t="n">
        <v>343</v>
      </c>
      <c r="B346" s="13">
        <f>IF(COUNT(ABC!$B$8:$B$507)=0,0,MIN(A346,COUNT(ABC!$B$8:$B$507))/COUNT(ABC!$B$8:$B$507))</f>
        <v/>
      </c>
      <c r="C346" s="13">
        <f>IF(COUNT(ABC!$B$8:$B$507)=0,0,SUMIF(ABC!$D$8:$D$507,"&lt;="&amp;MIN(A346,COUNT(ABC!$B$8:$B$507)),ABC!$B$8:$B$507)/SUM(ABC!$B$8:$B$507))</f>
        <v/>
      </c>
    </row>
    <row r="347">
      <c r="A347" t="n">
        <v>344</v>
      </c>
      <c r="B347" s="13">
        <f>IF(COUNT(ABC!$B$8:$B$507)=0,0,MIN(A347,COUNT(ABC!$B$8:$B$507))/COUNT(ABC!$B$8:$B$507))</f>
        <v/>
      </c>
      <c r="C347" s="13">
        <f>IF(COUNT(ABC!$B$8:$B$507)=0,0,SUMIF(ABC!$D$8:$D$507,"&lt;="&amp;MIN(A347,COUNT(ABC!$B$8:$B$507)),ABC!$B$8:$B$507)/SUM(ABC!$B$8:$B$507))</f>
        <v/>
      </c>
    </row>
    <row r="348">
      <c r="A348" t="n">
        <v>345</v>
      </c>
      <c r="B348" s="13">
        <f>IF(COUNT(ABC!$B$8:$B$507)=0,0,MIN(A348,COUNT(ABC!$B$8:$B$507))/COUNT(ABC!$B$8:$B$507))</f>
        <v/>
      </c>
      <c r="C348" s="13">
        <f>IF(COUNT(ABC!$B$8:$B$507)=0,0,SUMIF(ABC!$D$8:$D$507,"&lt;="&amp;MIN(A348,COUNT(ABC!$B$8:$B$507)),ABC!$B$8:$B$507)/SUM(ABC!$B$8:$B$507))</f>
        <v/>
      </c>
    </row>
    <row r="349">
      <c r="A349" t="n">
        <v>346</v>
      </c>
      <c r="B349" s="13">
        <f>IF(COUNT(ABC!$B$8:$B$507)=0,0,MIN(A349,COUNT(ABC!$B$8:$B$507))/COUNT(ABC!$B$8:$B$507))</f>
        <v/>
      </c>
      <c r="C349" s="13">
        <f>IF(COUNT(ABC!$B$8:$B$507)=0,0,SUMIF(ABC!$D$8:$D$507,"&lt;="&amp;MIN(A349,COUNT(ABC!$B$8:$B$507)),ABC!$B$8:$B$507)/SUM(ABC!$B$8:$B$507))</f>
        <v/>
      </c>
    </row>
    <row r="350">
      <c r="A350" t="n">
        <v>347</v>
      </c>
      <c r="B350" s="13">
        <f>IF(COUNT(ABC!$B$8:$B$507)=0,0,MIN(A350,COUNT(ABC!$B$8:$B$507))/COUNT(ABC!$B$8:$B$507))</f>
        <v/>
      </c>
      <c r="C350" s="13">
        <f>IF(COUNT(ABC!$B$8:$B$507)=0,0,SUMIF(ABC!$D$8:$D$507,"&lt;="&amp;MIN(A350,COUNT(ABC!$B$8:$B$507)),ABC!$B$8:$B$507)/SUM(ABC!$B$8:$B$507))</f>
        <v/>
      </c>
    </row>
    <row r="351">
      <c r="A351" t="n">
        <v>348</v>
      </c>
      <c r="B351" s="13">
        <f>IF(COUNT(ABC!$B$8:$B$507)=0,0,MIN(A351,COUNT(ABC!$B$8:$B$507))/COUNT(ABC!$B$8:$B$507))</f>
        <v/>
      </c>
      <c r="C351" s="13">
        <f>IF(COUNT(ABC!$B$8:$B$507)=0,0,SUMIF(ABC!$D$8:$D$507,"&lt;="&amp;MIN(A351,COUNT(ABC!$B$8:$B$507)),ABC!$B$8:$B$507)/SUM(ABC!$B$8:$B$507))</f>
        <v/>
      </c>
    </row>
    <row r="352">
      <c r="A352" t="n">
        <v>349</v>
      </c>
      <c r="B352" s="13">
        <f>IF(COUNT(ABC!$B$8:$B$507)=0,0,MIN(A352,COUNT(ABC!$B$8:$B$507))/COUNT(ABC!$B$8:$B$507))</f>
        <v/>
      </c>
      <c r="C352" s="13">
        <f>IF(COUNT(ABC!$B$8:$B$507)=0,0,SUMIF(ABC!$D$8:$D$507,"&lt;="&amp;MIN(A352,COUNT(ABC!$B$8:$B$507)),ABC!$B$8:$B$507)/SUM(ABC!$B$8:$B$507))</f>
        <v/>
      </c>
    </row>
    <row r="353">
      <c r="A353" t="n">
        <v>350</v>
      </c>
      <c r="B353" s="13">
        <f>IF(COUNT(ABC!$B$8:$B$507)=0,0,MIN(A353,COUNT(ABC!$B$8:$B$507))/COUNT(ABC!$B$8:$B$507))</f>
        <v/>
      </c>
      <c r="C353" s="13">
        <f>IF(COUNT(ABC!$B$8:$B$507)=0,0,SUMIF(ABC!$D$8:$D$507,"&lt;="&amp;MIN(A353,COUNT(ABC!$B$8:$B$507)),ABC!$B$8:$B$507)/SUM(ABC!$B$8:$B$507))</f>
        <v/>
      </c>
    </row>
    <row r="354">
      <c r="A354" t="n">
        <v>351</v>
      </c>
      <c r="B354" s="13">
        <f>IF(COUNT(ABC!$B$8:$B$507)=0,0,MIN(A354,COUNT(ABC!$B$8:$B$507))/COUNT(ABC!$B$8:$B$507))</f>
        <v/>
      </c>
      <c r="C354" s="13">
        <f>IF(COUNT(ABC!$B$8:$B$507)=0,0,SUMIF(ABC!$D$8:$D$507,"&lt;="&amp;MIN(A354,COUNT(ABC!$B$8:$B$507)),ABC!$B$8:$B$507)/SUM(ABC!$B$8:$B$507))</f>
        <v/>
      </c>
    </row>
    <row r="355">
      <c r="A355" t="n">
        <v>352</v>
      </c>
      <c r="B355" s="13">
        <f>IF(COUNT(ABC!$B$8:$B$507)=0,0,MIN(A355,COUNT(ABC!$B$8:$B$507))/COUNT(ABC!$B$8:$B$507))</f>
        <v/>
      </c>
      <c r="C355" s="13">
        <f>IF(COUNT(ABC!$B$8:$B$507)=0,0,SUMIF(ABC!$D$8:$D$507,"&lt;="&amp;MIN(A355,COUNT(ABC!$B$8:$B$507)),ABC!$B$8:$B$507)/SUM(ABC!$B$8:$B$507))</f>
        <v/>
      </c>
    </row>
    <row r="356">
      <c r="A356" t="n">
        <v>353</v>
      </c>
      <c r="B356" s="13">
        <f>IF(COUNT(ABC!$B$8:$B$507)=0,0,MIN(A356,COUNT(ABC!$B$8:$B$507))/COUNT(ABC!$B$8:$B$507))</f>
        <v/>
      </c>
      <c r="C356" s="13">
        <f>IF(COUNT(ABC!$B$8:$B$507)=0,0,SUMIF(ABC!$D$8:$D$507,"&lt;="&amp;MIN(A356,COUNT(ABC!$B$8:$B$507)),ABC!$B$8:$B$507)/SUM(ABC!$B$8:$B$507))</f>
        <v/>
      </c>
    </row>
    <row r="357">
      <c r="A357" t="n">
        <v>354</v>
      </c>
      <c r="B357" s="13">
        <f>IF(COUNT(ABC!$B$8:$B$507)=0,0,MIN(A357,COUNT(ABC!$B$8:$B$507))/COUNT(ABC!$B$8:$B$507))</f>
        <v/>
      </c>
      <c r="C357" s="13">
        <f>IF(COUNT(ABC!$B$8:$B$507)=0,0,SUMIF(ABC!$D$8:$D$507,"&lt;="&amp;MIN(A357,COUNT(ABC!$B$8:$B$507)),ABC!$B$8:$B$507)/SUM(ABC!$B$8:$B$507))</f>
        <v/>
      </c>
    </row>
    <row r="358">
      <c r="A358" t="n">
        <v>355</v>
      </c>
      <c r="B358" s="13">
        <f>IF(COUNT(ABC!$B$8:$B$507)=0,0,MIN(A358,COUNT(ABC!$B$8:$B$507))/COUNT(ABC!$B$8:$B$507))</f>
        <v/>
      </c>
      <c r="C358" s="13">
        <f>IF(COUNT(ABC!$B$8:$B$507)=0,0,SUMIF(ABC!$D$8:$D$507,"&lt;="&amp;MIN(A358,COUNT(ABC!$B$8:$B$507)),ABC!$B$8:$B$507)/SUM(ABC!$B$8:$B$507))</f>
        <v/>
      </c>
    </row>
    <row r="359">
      <c r="A359" t="n">
        <v>356</v>
      </c>
      <c r="B359" s="13">
        <f>IF(COUNT(ABC!$B$8:$B$507)=0,0,MIN(A359,COUNT(ABC!$B$8:$B$507))/COUNT(ABC!$B$8:$B$507))</f>
        <v/>
      </c>
      <c r="C359" s="13">
        <f>IF(COUNT(ABC!$B$8:$B$507)=0,0,SUMIF(ABC!$D$8:$D$507,"&lt;="&amp;MIN(A359,COUNT(ABC!$B$8:$B$507)),ABC!$B$8:$B$507)/SUM(ABC!$B$8:$B$507))</f>
        <v/>
      </c>
    </row>
    <row r="360">
      <c r="A360" t="n">
        <v>357</v>
      </c>
      <c r="B360" s="13">
        <f>IF(COUNT(ABC!$B$8:$B$507)=0,0,MIN(A360,COUNT(ABC!$B$8:$B$507))/COUNT(ABC!$B$8:$B$507))</f>
        <v/>
      </c>
      <c r="C360" s="13">
        <f>IF(COUNT(ABC!$B$8:$B$507)=0,0,SUMIF(ABC!$D$8:$D$507,"&lt;="&amp;MIN(A360,COUNT(ABC!$B$8:$B$507)),ABC!$B$8:$B$507)/SUM(ABC!$B$8:$B$507))</f>
        <v/>
      </c>
    </row>
    <row r="361">
      <c r="A361" t="n">
        <v>358</v>
      </c>
      <c r="B361" s="13">
        <f>IF(COUNT(ABC!$B$8:$B$507)=0,0,MIN(A361,COUNT(ABC!$B$8:$B$507))/COUNT(ABC!$B$8:$B$507))</f>
        <v/>
      </c>
      <c r="C361" s="13">
        <f>IF(COUNT(ABC!$B$8:$B$507)=0,0,SUMIF(ABC!$D$8:$D$507,"&lt;="&amp;MIN(A361,COUNT(ABC!$B$8:$B$507)),ABC!$B$8:$B$507)/SUM(ABC!$B$8:$B$507))</f>
        <v/>
      </c>
    </row>
    <row r="362">
      <c r="A362" t="n">
        <v>359</v>
      </c>
      <c r="B362" s="13">
        <f>IF(COUNT(ABC!$B$8:$B$507)=0,0,MIN(A362,COUNT(ABC!$B$8:$B$507))/COUNT(ABC!$B$8:$B$507))</f>
        <v/>
      </c>
      <c r="C362" s="13">
        <f>IF(COUNT(ABC!$B$8:$B$507)=0,0,SUMIF(ABC!$D$8:$D$507,"&lt;="&amp;MIN(A362,COUNT(ABC!$B$8:$B$507)),ABC!$B$8:$B$507)/SUM(ABC!$B$8:$B$507))</f>
        <v/>
      </c>
    </row>
    <row r="363">
      <c r="A363" t="n">
        <v>360</v>
      </c>
      <c r="B363" s="13">
        <f>IF(COUNT(ABC!$B$8:$B$507)=0,0,MIN(A363,COUNT(ABC!$B$8:$B$507))/COUNT(ABC!$B$8:$B$507))</f>
        <v/>
      </c>
      <c r="C363" s="13">
        <f>IF(COUNT(ABC!$B$8:$B$507)=0,0,SUMIF(ABC!$D$8:$D$507,"&lt;="&amp;MIN(A363,COUNT(ABC!$B$8:$B$507)),ABC!$B$8:$B$507)/SUM(ABC!$B$8:$B$507))</f>
        <v/>
      </c>
    </row>
    <row r="364">
      <c r="A364" t="n">
        <v>361</v>
      </c>
      <c r="B364" s="13">
        <f>IF(COUNT(ABC!$B$8:$B$507)=0,0,MIN(A364,COUNT(ABC!$B$8:$B$507))/COUNT(ABC!$B$8:$B$507))</f>
        <v/>
      </c>
      <c r="C364" s="13">
        <f>IF(COUNT(ABC!$B$8:$B$507)=0,0,SUMIF(ABC!$D$8:$D$507,"&lt;="&amp;MIN(A364,COUNT(ABC!$B$8:$B$507)),ABC!$B$8:$B$507)/SUM(ABC!$B$8:$B$507))</f>
        <v/>
      </c>
    </row>
    <row r="365">
      <c r="A365" t="n">
        <v>362</v>
      </c>
      <c r="B365" s="13">
        <f>IF(COUNT(ABC!$B$8:$B$507)=0,0,MIN(A365,COUNT(ABC!$B$8:$B$507))/COUNT(ABC!$B$8:$B$507))</f>
        <v/>
      </c>
      <c r="C365" s="13">
        <f>IF(COUNT(ABC!$B$8:$B$507)=0,0,SUMIF(ABC!$D$8:$D$507,"&lt;="&amp;MIN(A365,COUNT(ABC!$B$8:$B$507)),ABC!$B$8:$B$507)/SUM(ABC!$B$8:$B$507))</f>
        <v/>
      </c>
    </row>
    <row r="366">
      <c r="A366" t="n">
        <v>363</v>
      </c>
      <c r="B366" s="13">
        <f>IF(COUNT(ABC!$B$8:$B$507)=0,0,MIN(A366,COUNT(ABC!$B$8:$B$507))/COUNT(ABC!$B$8:$B$507))</f>
        <v/>
      </c>
      <c r="C366" s="13">
        <f>IF(COUNT(ABC!$B$8:$B$507)=0,0,SUMIF(ABC!$D$8:$D$507,"&lt;="&amp;MIN(A366,COUNT(ABC!$B$8:$B$507)),ABC!$B$8:$B$507)/SUM(ABC!$B$8:$B$507))</f>
        <v/>
      </c>
    </row>
    <row r="367">
      <c r="A367" t="n">
        <v>364</v>
      </c>
      <c r="B367" s="13">
        <f>IF(COUNT(ABC!$B$8:$B$507)=0,0,MIN(A367,COUNT(ABC!$B$8:$B$507))/COUNT(ABC!$B$8:$B$507))</f>
        <v/>
      </c>
      <c r="C367" s="13">
        <f>IF(COUNT(ABC!$B$8:$B$507)=0,0,SUMIF(ABC!$D$8:$D$507,"&lt;="&amp;MIN(A367,COUNT(ABC!$B$8:$B$507)),ABC!$B$8:$B$507)/SUM(ABC!$B$8:$B$507))</f>
        <v/>
      </c>
    </row>
    <row r="368">
      <c r="A368" t="n">
        <v>365</v>
      </c>
      <c r="B368" s="13">
        <f>IF(COUNT(ABC!$B$8:$B$507)=0,0,MIN(A368,COUNT(ABC!$B$8:$B$507))/COUNT(ABC!$B$8:$B$507))</f>
        <v/>
      </c>
      <c r="C368" s="13">
        <f>IF(COUNT(ABC!$B$8:$B$507)=0,0,SUMIF(ABC!$D$8:$D$507,"&lt;="&amp;MIN(A368,COUNT(ABC!$B$8:$B$507)),ABC!$B$8:$B$507)/SUM(ABC!$B$8:$B$507))</f>
        <v/>
      </c>
    </row>
    <row r="369">
      <c r="A369" t="n">
        <v>366</v>
      </c>
      <c r="B369" s="13">
        <f>IF(COUNT(ABC!$B$8:$B$507)=0,0,MIN(A369,COUNT(ABC!$B$8:$B$507))/COUNT(ABC!$B$8:$B$507))</f>
        <v/>
      </c>
      <c r="C369" s="13">
        <f>IF(COUNT(ABC!$B$8:$B$507)=0,0,SUMIF(ABC!$D$8:$D$507,"&lt;="&amp;MIN(A369,COUNT(ABC!$B$8:$B$507)),ABC!$B$8:$B$507)/SUM(ABC!$B$8:$B$507))</f>
        <v/>
      </c>
    </row>
    <row r="370">
      <c r="A370" t="n">
        <v>367</v>
      </c>
      <c r="B370" s="13">
        <f>IF(COUNT(ABC!$B$8:$B$507)=0,0,MIN(A370,COUNT(ABC!$B$8:$B$507))/COUNT(ABC!$B$8:$B$507))</f>
        <v/>
      </c>
      <c r="C370" s="13">
        <f>IF(COUNT(ABC!$B$8:$B$507)=0,0,SUMIF(ABC!$D$8:$D$507,"&lt;="&amp;MIN(A370,COUNT(ABC!$B$8:$B$507)),ABC!$B$8:$B$507)/SUM(ABC!$B$8:$B$507))</f>
        <v/>
      </c>
    </row>
    <row r="371">
      <c r="A371" t="n">
        <v>368</v>
      </c>
      <c r="B371" s="13">
        <f>IF(COUNT(ABC!$B$8:$B$507)=0,0,MIN(A371,COUNT(ABC!$B$8:$B$507))/COUNT(ABC!$B$8:$B$507))</f>
        <v/>
      </c>
      <c r="C371" s="13">
        <f>IF(COUNT(ABC!$B$8:$B$507)=0,0,SUMIF(ABC!$D$8:$D$507,"&lt;="&amp;MIN(A371,COUNT(ABC!$B$8:$B$507)),ABC!$B$8:$B$507)/SUM(ABC!$B$8:$B$507))</f>
        <v/>
      </c>
    </row>
    <row r="372">
      <c r="A372" t="n">
        <v>369</v>
      </c>
      <c r="B372" s="13">
        <f>IF(COUNT(ABC!$B$8:$B$507)=0,0,MIN(A372,COUNT(ABC!$B$8:$B$507))/COUNT(ABC!$B$8:$B$507))</f>
        <v/>
      </c>
      <c r="C372" s="13">
        <f>IF(COUNT(ABC!$B$8:$B$507)=0,0,SUMIF(ABC!$D$8:$D$507,"&lt;="&amp;MIN(A372,COUNT(ABC!$B$8:$B$507)),ABC!$B$8:$B$507)/SUM(ABC!$B$8:$B$507))</f>
        <v/>
      </c>
    </row>
    <row r="373">
      <c r="A373" t="n">
        <v>370</v>
      </c>
      <c r="B373" s="13">
        <f>IF(COUNT(ABC!$B$8:$B$507)=0,0,MIN(A373,COUNT(ABC!$B$8:$B$507))/COUNT(ABC!$B$8:$B$507))</f>
        <v/>
      </c>
      <c r="C373" s="13">
        <f>IF(COUNT(ABC!$B$8:$B$507)=0,0,SUMIF(ABC!$D$8:$D$507,"&lt;="&amp;MIN(A373,COUNT(ABC!$B$8:$B$507)),ABC!$B$8:$B$507)/SUM(ABC!$B$8:$B$507))</f>
        <v/>
      </c>
    </row>
    <row r="374">
      <c r="A374" t="n">
        <v>371</v>
      </c>
      <c r="B374" s="13">
        <f>IF(COUNT(ABC!$B$8:$B$507)=0,0,MIN(A374,COUNT(ABC!$B$8:$B$507))/COUNT(ABC!$B$8:$B$507))</f>
        <v/>
      </c>
      <c r="C374" s="13">
        <f>IF(COUNT(ABC!$B$8:$B$507)=0,0,SUMIF(ABC!$D$8:$D$507,"&lt;="&amp;MIN(A374,COUNT(ABC!$B$8:$B$507)),ABC!$B$8:$B$507)/SUM(ABC!$B$8:$B$507))</f>
        <v/>
      </c>
    </row>
    <row r="375">
      <c r="A375" t="n">
        <v>372</v>
      </c>
      <c r="B375" s="13">
        <f>IF(COUNT(ABC!$B$8:$B$507)=0,0,MIN(A375,COUNT(ABC!$B$8:$B$507))/COUNT(ABC!$B$8:$B$507))</f>
        <v/>
      </c>
      <c r="C375" s="13">
        <f>IF(COUNT(ABC!$B$8:$B$507)=0,0,SUMIF(ABC!$D$8:$D$507,"&lt;="&amp;MIN(A375,COUNT(ABC!$B$8:$B$507)),ABC!$B$8:$B$507)/SUM(ABC!$B$8:$B$507))</f>
        <v/>
      </c>
    </row>
    <row r="376">
      <c r="A376" t="n">
        <v>373</v>
      </c>
      <c r="B376" s="13">
        <f>IF(COUNT(ABC!$B$8:$B$507)=0,0,MIN(A376,COUNT(ABC!$B$8:$B$507))/COUNT(ABC!$B$8:$B$507))</f>
        <v/>
      </c>
      <c r="C376" s="13">
        <f>IF(COUNT(ABC!$B$8:$B$507)=0,0,SUMIF(ABC!$D$8:$D$507,"&lt;="&amp;MIN(A376,COUNT(ABC!$B$8:$B$507)),ABC!$B$8:$B$507)/SUM(ABC!$B$8:$B$507))</f>
        <v/>
      </c>
    </row>
    <row r="377">
      <c r="A377" t="n">
        <v>374</v>
      </c>
      <c r="B377" s="13">
        <f>IF(COUNT(ABC!$B$8:$B$507)=0,0,MIN(A377,COUNT(ABC!$B$8:$B$507))/COUNT(ABC!$B$8:$B$507))</f>
        <v/>
      </c>
      <c r="C377" s="13">
        <f>IF(COUNT(ABC!$B$8:$B$507)=0,0,SUMIF(ABC!$D$8:$D$507,"&lt;="&amp;MIN(A377,COUNT(ABC!$B$8:$B$507)),ABC!$B$8:$B$507)/SUM(ABC!$B$8:$B$507))</f>
        <v/>
      </c>
    </row>
    <row r="378">
      <c r="A378" t="n">
        <v>375</v>
      </c>
      <c r="B378" s="13">
        <f>IF(COUNT(ABC!$B$8:$B$507)=0,0,MIN(A378,COUNT(ABC!$B$8:$B$507))/COUNT(ABC!$B$8:$B$507))</f>
        <v/>
      </c>
      <c r="C378" s="13">
        <f>IF(COUNT(ABC!$B$8:$B$507)=0,0,SUMIF(ABC!$D$8:$D$507,"&lt;="&amp;MIN(A378,COUNT(ABC!$B$8:$B$507)),ABC!$B$8:$B$507)/SUM(ABC!$B$8:$B$507))</f>
        <v/>
      </c>
    </row>
    <row r="379">
      <c r="A379" t="n">
        <v>376</v>
      </c>
      <c r="B379" s="13">
        <f>IF(COUNT(ABC!$B$8:$B$507)=0,0,MIN(A379,COUNT(ABC!$B$8:$B$507))/COUNT(ABC!$B$8:$B$507))</f>
        <v/>
      </c>
      <c r="C379" s="13">
        <f>IF(COUNT(ABC!$B$8:$B$507)=0,0,SUMIF(ABC!$D$8:$D$507,"&lt;="&amp;MIN(A379,COUNT(ABC!$B$8:$B$507)),ABC!$B$8:$B$507)/SUM(ABC!$B$8:$B$507))</f>
        <v/>
      </c>
    </row>
    <row r="380">
      <c r="A380" t="n">
        <v>377</v>
      </c>
      <c r="B380" s="13">
        <f>IF(COUNT(ABC!$B$8:$B$507)=0,0,MIN(A380,COUNT(ABC!$B$8:$B$507))/COUNT(ABC!$B$8:$B$507))</f>
        <v/>
      </c>
      <c r="C380" s="13">
        <f>IF(COUNT(ABC!$B$8:$B$507)=0,0,SUMIF(ABC!$D$8:$D$507,"&lt;="&amp;MIN(A380,COUNT(ABC!$B$8:$B$507)),ABC!$B$8:$B$507)/SUM(ABC!$B$8:$B$507))</f>
        <v/>
      </c>
    </row>
    <row r="381">
      <c r="A381" t="n">
        <v>378</v>
      </c>
      <c r="B381" s="13">
        <f>IF(COUNT(ABC!$B$8:$B$507)=0,0,MIN(A381,COUNT(ABC!$B$8:$B$507))/COUNT(ABC!$B$8:$B$507))</f>
        <v/>
      </c>
      <c r="C381" s="13">
        <f>IF(COUNT(ABC!$B$8:$B$507)=0,0,SUMIF(ABC!$D$8:$D$507,"&lt;="&amp;MIN(A381,COUNT(ABC!$B$8:$B$507)),ABC!$B$8:$B$507)/SUM(ABC!$B$8:$B$507))</f>
        <v/>
      </c>
    </row>
    <row r="382">
      <c r="A382" t="n">
        <v>379</v>
      </c>
      <c r="B382" s="13">
        <f>IF(COUNT(ABC!$B$8:$B$507)=0,0,MIN(A382,COUNT(ABC!$B$8:$B$507))/COUNT(ABC!$B$8:$B$507))</f>
        <v/>
      </c>
      <c r="C382" s="13">
        <f>IF(COUNT(ABC!$B$8:$B$507)=0,0,SUMIF(ABC!$D$8:$D$507,"&lt;="&amp;MIN(A382,COUNT(ABC!$B$8:$B$507)),ABC!$B$8:$B$507)/SUM(ABC!$B$8:$B$507))</f>
        <v/>
      </c>
    </row>
    <row r="383">
      <c r="A383" t="n">
        <v>380</v>
      </c>
      <c r="B383" s="13">
        <f>IF(COUNT(ABC!$B$8:$B$507)=0,0,MIN(A383,COUNT(ABC!$B$8:$B$507))/COUNT(ABC!$B$8:$B$507))</f>
        <v/>
      </c>
      <c r="C383" s="13">
        <f>IF(COUNT(ABC!$B$8:$B$507)=0,0,SUMIF(ABC!$D$8:$D$507,"&lt;="&amp;MIN(A383,COUNT(ABC!$B$8:$B$507)),ABC!$B$8:$B$507)/SUM(ABC!$B$8:$B$507))</f>
        <v/>
      </c>
    </row>
    <row r="384">
      <c r="A384" t="n">
        <v>381</v>
      </c>
      <c r="B384" s="13">
        <f>IF(COUNT(ABC!$B$8:$B$507)=0,0,MIN(A384,COUNT(ABC!$B$8:$B$507))/COUNT(ABC!$B$8:$B$507))</f>
        <v/>
      </c>
      <c r="C384" s="13">
        <f>IF(COUNT(ABC!$B$8:$B$507)=0,0,SUMIF(ABC!$D$8:$D$507,"&lt;="&amp;MIN(A384,COUNT(ABC!$B$8:$B$507)),ABC!$B$8:$B$507)/SUM(ABC!$B$8:$B$507))</f>
        <v/>
      </c>
    </row>
    <row r="385">
      <c r="A385" t="n">
        <v>382</v>
      </c>
      <c r="B385" s="13">
        <f>IF(COUNT(ABC!$B$8:$B$507)=0,0,MIN(A385,COUNT(ABC!$B$8:$B$507))/COUNT(ABC!$B$8:$B$507))</f>
        <v/>
      </c>
      <c r="C385" s="13">
        <f>IF(COUNT(ABC!$B$8:$B$507)=0,0,SUMIF(ABC!$D$8:$D$507,"&lt;="&amp;MIN(A385,COUNT(ABC!$B$8:$B$507)),ABC!$B$8:$B$507)/SUM(ABC!$B$8:$B$507))</f>
        <v/>
      </c>
    </row>
    <row r="386">
      <c r="A386" t="n">
        <v>383</v>
      </c>
      <c r="B386" s="13">
        <f>IF(COUNT(ABC!$B$8:$B$507)=0,0,MIN(A386,COUNT(ABC!$B$8:$B$507))/COUNT(ABC!$B$8:$B$507))</f>
        <v/>
      </c>
      <c r="C386" s="13">
        <f>IF(COUNT(ABC!$B$8:$B$507)=0,0,SUMIF(ABC!$D$8:$D$507,"&lt;="&amp;MIN(A386,COUNT(ABC!$B$8:$B$507)),ABC!$B$8:$B$507)/SUM(ABC!$B$8:$B$507))</f>
        <v/>
      </c>
    </row>
    <row r="387">
      <c r="A387" t="n">
        <v>384</v>
      </c>
      <c r="B387" s="13">
        <f>IF(COUNT(ABC!$B$8:$B$507)=0,0,MIN(A387,COUNT(ABC!$B$8:$B$507))/COUNT(ABC!$B$8:$B$507))</f>
        <v/>
      </c>
      <c r="C387" s="13">
        <f>IF(COUNT(ABC!$B$8:$B$507)=0,0,SUMIF(ABC!$D$8:$D$507,"&lt;="&amp;MIN(A387,COUNT(ABC!$B$8:$B$507)),ABC!$B$8:$B$507)/SUM(ABC!$B$8:$B$507))</f>
        <v/>
      </c>
    </row>
    <row r="388">
      <c r="A388" t="n">
        <v>385</v>
      </c>
      <c r="B388" s="13">
        <f>IF(COUNT(ABC!$B$8:$B$507)=0,0,MIN(A388,COUNT(ABC!$B$8:$B$507))/COUNT(ABC!$B$8:$B$507))</f>
        <v/>
      </c>
      <c r="C388" s="13">
        <f>IF(COUNT(ABC!$B$8:$B$507)=0,0,SUMIF(ABC!$D$8:$D$507,"&lt;="&amp;MIN(A388,COUNT(ABC!$B$8:$B$507)),ABC!$B$8:$B$507)/SUM(ABC!$B$8:$B$507))</f>
        <v/>
      </c>
    </row>
    <row r="389">
      <c r="A389" t="n">
        <v>386</v>
      </c>
      <c r="B389" s="13">
        <f>IF(COUNT(ABC!$B$8:$B$507)=0,0,MIN(A389,COUNT(ABC!$B$8:$B$507))/COUNT(ABC!$B$8:$B$507))</f>
        <v/>
      </c>
      <c r="C389" s="13">
        <f>IF(COUNT(ABC!$B$8:$B$507)=0,0,SUMIF(ABC!$D$8:$D$507,"&lt;="&amp;MIN(A389,COUNT(ABC!$B$8:$B$507)),ABC!$B$8:$B$507)/SUM(ABC!$B$8:$B$507))</f>
        <v/>
      </c>
    </row>
    <row r="390">
      <c r="A390" t="n">
        <v>387</v>
      </c>
      <c r="B390" s="13">
        <f>IF(COUNT(ABC!$B$8:$B$507)=0,0,MIN(A390,COUNT(ABC!$B$8:$B$507))/COUNT(ABC!$B$8:$B$507))</f>
        <v/>
      </c>
      <c r="C390" s="13">
        <f>IF(COUNT(ABC!$B$8:$B$507)=0,0,SUMIF(ABC!$D$8:$D$507,"&lt;="&amp;MIN(A390,COUNT(ABC!$B$8:$B$507)),ABC!$B$8:$B$507)/SUM(ABC!$B$8:$B$507))</f>
        <v/>
      </c>
    </row>
    <row r="391">
      <c r="A391" t="n">
        <v>388</v>
      </c>
      <c r="B391" s="13">
        <f>IF(COUNT(ABC!$B$8:$B$507)=0,0,MIN(A391,COUNT(ABC!$B$8:$B$507))/COUNT(ABC!$B$8:$B$507))</f>
        <v/>
      </c>
      <c r="C391" s="13">
        <f>IF(COUNT(ABC!$B$8:$B$507)=0,0,SUMIF(ABC!$D$8:$D$507,"&lt;="&amp;MIN(A391,COUNT(ABC!$B$8:$B$507)),ABC!$B$8:$B$507)/SUM(ABC!$B$8:$B$507))</f>
        <v/>
      </c>
    </row>
    <row r="392">
      <c r="A392" t="n">
        <v>389</v>
      </c>
      <c r="B392" s="13">
        <f>IF(COUNT(ABC!$B$8:$B$507)=0,0,MIN(A392,COUNT(ABC!$B$8:$B$507))/COUNT(ABC!$B$8:$B$507))</f>
        <v/>
      </c>
      <c r="C392" s="13">
        <f>IF(COUNT(ABC!$B$8:$B$507)=0,0,SUMIF(ABC!$D$8:$D$507,"&lt;="&amp;MIN(A392,COUNT(ABC!$B$8:$B$507)),ABC!$B$8:$B$507)/SUM(ABC!$B$8:$B$507))</f>
        <v/>
      </c>
    </row>
    <row r="393">
      <c r="A393" t="n">
        <v>390</v>
      </c>
      <c r="B393" s="13">
        <f>IF(COUNT(ABC!$B$8:$B$507)=0,0,MIN(A393,COUNT(ABC!$B$8:$B$507))/COUNT(ABC!$B$8:$B$507))</f>
        <v/>
      </c>
      <c r="C393" s="13">
        <f>IF(COUNT(ABC!$B$8:$B$507)=0,0,SUMIF(ABC!$D$8:$D$507,"&lt;="&amp;MIN(A393,COUNT(ABC!$B$8:$B$507)),ABC!$B$8:$B$507)/SUM(ABC!$B$8:$B$507))</f>
        <v/>
      </c>
    </row>
    <row r="394">
      <c r="A394" t="n">
        <v>391</v>
      </c>
      <c r="B394" s="13">
        <f>IF(COUNT(ABC!$B$8:$B$507)=0,0,MIN(A394,COUNT(ABC!$B$8:$B$507))/COUNT(ABC!$B$8:$B$507))</f>
        <v/>
      </c>
      <c r="C394" s="13">
        <f>IF(COUNT(ABC!$B$8:$B$507)=0,0,SUMIF(ABC!$D$8:$D$507,"&lt;="&amp;MIN(A394,COUNT(ABC!$B$8:$B$507)),ABC!$B$8:$B$507)/SUM(ABC!$B$8:$B$507))</f>
        <v/>
      </c>
    </row>
    <row r="395">
      <c r="A395" t="n">
        <v>392</v>
      </c>
      <c r="B395" s="13">
        <f>IF(COUNT(ABC!$B$8:$B$507)=0,0,MIN(A395,COUNT(ABC!$B$8:$B$507))/COUNT(ABC!$B$8:$B$507))</f>
        <v/>
      </c>
      <c r="C395" s="13">
        <f>IF(COUNT(ABC!$B$8:$B$507)=0,0,SUMIF(ABC!$D$8:$D$507,"&lt;="&amp;MIN(A395,COUNT(ABC!$B$8:$B$507)),ABC!$B$8:$B$507)/SUM(ABC!$B$8:$B$507))</f>
        <v/>
      </c>
    </row>
    <row r="396">
      <c r="A396" t="n">
        <v>393</v>
      </c>
      <c r="B396" s="13">
        <f>IF(COUNT(ABC!$B$8:$B$507)=0,0,MIN(A396,COUNT(ABC!$B$8:$B$507))/COUNT(ABC!$B$8:$B$507))</f>
        <v/>
      </c>
      <c r="C396" s="13">
        <f>IF(COUNT(ABC!$B$8:$B$507)=0,0,SUMIF(ABC!$D$8:$D$507,"&lt;="&amp;MIN(A396,COUNT(ABC!$B$8:$B$507)),ABC!$B$8:$B$507)/SUM(ABC!$B$8:$B$507))</f>
        <v/>
      </c>
    </row>
    <row r="397">
      <c r="A397" t="n">
        <v>394</v>
      </c>
      <c r="B397" s="13">
        <f>IF(COUNT(ABC!$B$8:$B$507)=0,0,MIN(A397,COUNT(ABC!$B$8:$B$507))/COUNT(ABC!$B$8:$B$507))</f>
        <v/>
      </c>
      <c r="C397" s="13">
        <f>IF(COUNT(ABC!$B$8:$B$507)=0,0,SUMIF(ABC!$D$8:$D$507,"&lt;="&amp;MIN(A397,COUNT(ABC!$B$8:$B$507)),ABC!$B$8:$B$507)/SUM(ABC!$B$8:$B$507))</f>
        <v/>
      </c>
    </row>
    <row r="398">
      <c r="A398" t="n">
        <v>395</v>
      </c>
      <c r="B398" s="13">
        <f>IF(COUNT(ABC!$B$8:$B$507)=0,0,MIN(A398,COUNT(ABC!$B$8:$B$507))/COUNT(ABC!$B$8:$B$507))</f>
        <v/>
      </c>
      <c r="C398" s="13">
        <f>IF(COUNT(ABC!$B$8:$B$507)=0,0,SUMIF(ABC!$D$8:$D$507,"&lt;="&amp;MIN(A398,COUNT(ABC!$B$8:$B$507)),ABC!$B$8:$B$507)/SUM(ABC!$B$8:$B$507))</f>
        <v/>
      </c>
    </row>
    <row r="399">
      <c r="A399" t="n">
        <v>396</v>
      </c>
      <c r="B399" s="13">
        <f>IF(COUNT(ABC!$B$8:$B$507)=0,0,MIN(A399,COUNT(ABC!$B$8:$B$507))/COUNT(ABC!$B$8:$B$507))</f>
        <v/>
      </c>
      <c r="C399" s="13">
        <f>IF(COUNT(ABC!$B$8:$B$507)=0,0,SUMIF(ABC!$D$8:$D$507,"&lt;="&amp;MIN(A399,COUNT(ABC!$B$8:$B$507)),ABC!$B$8:$B$507)/SUM(ABC!$B$8:$B$507))</f>
        <v/>
      </c>
    </row>
    <row r="400">
      <c r="A400" t="n">
        <v>397</v>
      </c>
      <c r="B400" s="13">
        <f>IF(COUNT(ABC!$B$8:$B$507)=0,0,MIN(A400,COUNT(ABC!$B$8:$B$507))/COUNT(ABC!$B$8:$B$507))</f>
        <v/>
      </c>
      <c r="C400" s="13">
        <f>IF(COUNT(ABC!$B$8:$B$507)=0,0,SUMIF(ABC!$D$8:$D$507,"&lt;="&amp;MIN(A400,COUNT(ABC!$B$8:$B$507)),ABC!$B$8:$B$507)/SUM(ABC!$B$8:$B$507))</f>
        <v/>
      </c>
    </row>
    <row r="401">
      <c r="A401" t="n">
        <v>398</v>
      </c>
      <c r="B401" s="13">
        <f>IF(COUNT(ABC!$B$8:$B$507)=0,0,MIN(A401,COUNT(ABC!$B$8:$B$507))/COUNT(ABC!$B$8:$B$507))</f>
        <v/>
      </c>
      <c r="C401" s="13">
        <f>IF(COUNT(ABC!$B$8:$B$507)=0,0,SUMIF(ABC!$D$8:$D$507,"&lt;="&amp;MIN(A401,COUNT(ABC!$B$8:$B$507)),ABC!$B$8:$B$507)/SUM(ABC!$B$8:$B$507))</f>
        <v/>
      </c>
    </row>
    <row r="402">
      <c r="A402" t="n">
        <v>399</v>
      </c>
      <c r="B402" s="13">
        <f>IF(COUNT(ABC!$B$8:$B$507)=0,0,MIN(A402,COUNT(ABC!$B$8:$B$507))/COUNT(ABC!$B$8:$B$507))</f>
        <v/>
      </c>
      <c r="C402" s="13">
        <f>IF(COUNT(ABC!$B$8:$B$507)=0,0,SUMIF(ABC!$D$8:$D$507,"&lt;="&amp;MIN(A402,COUNT(ABC!$B$8:$B$507)),ABC!$B$8:$B$507)/SUM(ABC!$B$8:$B$507))</f>
        <v/>
      </c>
    </row>
    <row r="403">
      <c r="A403" t="n">
        <v>400</v>
      </c>
      <c r="B403" s="13">
        <f>IF(COUNT(ABC!$B$8:$B$507)=0,0,MIN(A403,COUNT(ABC!$B$8:$B$507))/COUNT(ABC!$B$8:$B$507))</f>
        <v/>
      </c>
      <c r="C403" s="13">
        <f>IF(COUNT(ABC!$B$8:$B$507)=0,0,SUMIF(ABC!$D$8:$D$507,"&lt;="&amp;MIN(A403,COUNT(ABC!$B$8:$B$507)),ABC!$B$8:$B$507)/SUM(ABC!$B$8:$B$507))</f>
        <v/>
      </c>
    </row>
    <row r="404">
      <c r="A404" t="n">
        <v>401</v>
      </c>
      <c r="B404" s="13">
        <f>IF(COUNT(ABC!$B$8:$B$507)=0,0,MIN(A404,COUNT(ABC!$B$8:$B$507))/COUNT(ABC!$B$8:$B$507))</f>
        <v/>
      </c>
      <c r="C404" s="13">
        <f>IF(COUNT(ABC!$B$8:$B$507)=0,0,SUMIF(ABC!$D$8:$D$507,"&lt;="&amp;MIN(A404,COUNT(ABC!$B$8:$B$507)),ABC!$B$8:$B$507)/SUM(ABC!$B$8:$B$507))</f>
        <v/>
      </c>
    </row>
    <row r="405">
      <c r="A405" t="n">
        <v>402</v>
      </c>
      <c r="B405" s="13">
        <f>IF(COUNT(ABC!$B$8:$B$507)=0,0,MIN(A405,COUNT(ABC!$B$8:$B$507))/COUNT(ABC!$B$8:$B$507))</f>
        <v/>
      </c>
      <c r="C405" s="13">
        <f>IF(COUNT(ABC!$B$8:$B$507)=0,0,SUMIF(ABC!$D$8:$D$507,"&lt;="&amp;MIN(A405,COUNT(ABC!$B$8:$B$507)),ABC!$B$8:$B$507)/SUM(ABC!$B$8:$B$507))</f>
        <v/>
      </c>
    </row>
    <row r="406">
      <c r="A406" t="n">
        <v>403</v>
      </c>
      <c r="B406" s="13">
        <f>IF(COUNT(ABC!$B$8:$B$507)=0,0,MIN(A406,COUNT(ABC!$B$8:$B$507))/COUNT(ABC!$B$8:$B$507))</f>
        <v/>
      </c>
      <c r="C406" s="13">
        <f>IF(COUNT(ABC!$B$8:$B$507)=0,0,SUMIF(ABC!$D$8:$D$507,"&lt;="&amp;MIN(A406,COUNT(ABC!$B$8:$B$507)),ABC!$B$8:$B$507)/SUM(ABC!$B$8:$B$507))</f>
        <v/>
      </c>
    </row>
    <row r="407">
      <c r="A407" t="n">
        <v>404</v>
      </c>
      <c r="B407" s="13">
        <f>IF(COUNT(ABC!$B$8:$B$507)=0,0,MIN(A407,COUNT(ABC!$B$8:$B$507))/COUNT(ABC!$B$8:$B$507))</f>
        <v/>
      </c>
      <c r="C407" s="13">
        <f>IF(COUNT(ABC!$B$8:$B$507)=0,0,SUMIF(ABC!$D$8:$D$507,"&lt;="&amp;MIN(A407,COUNT(ABC!$B$8:$B$507)),ABC!$B$8:$B$507)/SUM(ABC!$B$8:$B$507))</f>
        <v/>
      </c>
    </row>
    <row r="408">
      <c r="A408" t="n">
        <v>405</v>
      </c>
      <c r="B408" s="13">
        <f>IF(COUNT(ABC!$B$8:$B$507)=0,0,MIN(A408,COUNT(ABC!$B$8:$B$507))/COUNT(ABC!$B$8:$B$507))</f>
        <v/>
      </c>
      <c r="C408" s="13">
        <f>IF(COUNT(ABC!$B$8:$B$507)=0,0,SUMIF(ABC!$D$8:$D$507,"&lt;="&amp;MIN(A408,COUNT(ABC!$B$8:$B$507)),ABC!$B$8:$B$507)/SUM(ABC!$B$8:$B$507))</f>
        <v/>
      </c>
    </row>
    <row r="409">
      <c r="A409" t="n">
        <v>406</v>
      </c>
      <c r="B409" s="13">
        <f>IF(COUNT(ABC!$B$8:$B$507)=0,0,MIN(A409,COUNT(ABC!$B$8:$B$507))/COUNT(ABC!$B$8:$B$507))</f>
        <v/>
      </c>
      <c r="C409" s="13">
        <f>IF(COUNT(ABC!$B$8:$B$507)=0,0,SUMIF(ABC!$D$8:$D$507,"&lt;="&amp;MIN(A409,COUNT(ABC!$B$8:$B$507)),ABC!$B$8:$B$507)/SUM(ABC!$B$8:$B$507))</f>
        <v/>
      </c>
    </row>
    <row r="410">
      <c r="A410" t="n">
        <v>407</v>
      </c>
      <c r="B410" s="13">
        <f>IF(COUNT(ABC!$B$8:$B$507)=0,0,MIN(A410,COUNT(ABC!$B$8:$B$507))/COUNT(ABC!$B$8:$B$507))</f>
        <v/>
      </c>
      <c r="C410" s="13">
        <f>IF(COUNT(ABC!$B$8:$B$507)=0,0,SUMIF(ABC!$D$8:$D$507,"&lt;="&amp;MIN(A410,COUNT(ABC!$B$8:$B$507)),ABC!$B$8:$B$507)/SUM(ABC!$B$8:$B$507))</f>
        <v/>
      </c>
    </row>
    <row r="411">
      <c r="A411" t="n">
        <v>408</v>
      </c>
      <c r="B411" s="13">
        <f>IF(COUNT(ABC!$B$8:$B$507)=0,0,MIN(A411,COUNT(ABC!$B$8:$B$507))/COUNT(ABC!$B$8:$B$507))</f>
        <v/>
      </c>
      <c r="C411" s="13">
        <f>IF(COUNT(ABC!$B$8:$B$507)=0,0,SUMIF(ABC!$D$8:$D$507,"&lt;="&amp;MIN(A411,COUNT(ABC!$B$8:$B$507)),ABC!$B$8:$B$507)/SUM(ABC!$B$8:$B$507))</f>
        <v/>
      </c>
    </row>
    <row r="412">
      <c r="A412" t="n">
        <v>409</v>
      </c>
      <c r="B412" s="13">
        <f>IF(COUNT(ABC!$B$8:$B$507)=0,0,MIN(A412,COUNT(ABC!$B$8:$B$507))/COUNT(ABC!$B$8:$B$507))</f>
        <v/>
      </c>
      <c r="C412" s="13">
        <f>IF(COUNT(ABC!$B$8:$B$507)=0,0,SUMIF(ABC!$D$8:$D$507,"&lt;="&amp;MIN(A412,COUNT(ABC!$B$8:$B$507)),ABC!$B$8:$B$507)/SUM(ABC!$B$8:$B$507))</f>
        <v/>
      </c>
    </row>
    <row r="413">
      <c r="A413" t="n">
        <v>410</v>
      </c>
      <c r="B413" s="13">
        <f>IF(COUNT(ABC!$B$8:$B$507)=0,0,MIN(A413,COUNT(ABC!$B$8:$B$507))/COUNT(ABC!$B$8:$B$507))</f>
        <v/>
      </c>
      <c r="C413" s="13">
        <f>IF(COUNT(ABC!$B$8:$B$507)=0,0,SUMIF(ABC!$D$8:$D$507,"&lt;="&amp;MIN(A413,COUNT(ABC!$B$8:$B$507)),ABC!$B$8:$B$507)/SUM(ABC!$B$8:$B$507))</f>
        <v/>
      </c>
    </row>
    <row r="414">
      <c r="A414" t="n">
        <v>411</v>
      </c>
      <c r="B414" s="13">
        <f>IF(COUNT(ABC!$B$8:$B$507)=0,0,MIN(A414,COUNT(ABC!$B$8:$B$507))/COUNT(ABC!$B$8:$B$507))</f>
        <v/>
      </c>
      <c r="C414" s="13">
        <f>IF(COUNT(ABC!$B$8:$B$507)=0,0,SUMIF(ABC!$D$8:$D$507,"&lt;="&amp;MIN(A414,COUNT(ABC!$B$8:$B$507)),ABC!$B$8:$B$507)/SUM(ABC!$B$8:$B$507))</f>
        <v/>
      </c>
    </row>
    <row r="415">
      <c r="A415" t="n">
        <v>412</v>
      </c>
      <c r="B415" s="13">
        <f>IF(COUNT(ABC!$B$8:$B$507)=0,0,MIN(A415,COUNT(ABC!$B$8:$B$507))/COUNT(ABC!$B$8:$B$507))</f>
        <v/>
      </c>
      <c r="C415" s="13">
        <f>IF(COUNT(ABC!$B$8:$B$507)=0,0,SUMIF(ABC!$D$8:$D$507,"&lt;="&amp;MIN(A415,COUNT(ABC!$B$8:$B$507)),ABC!$B$8:$B$507)/SUM(ABC!$B$8:$B$507))</f>
        <v/>
      </c>
    </row>
    <row r="416">
      <c r="A416" t="n">
        <v>413</v>
      </c>
      <c r="B416" s="13">
        <f>IF(COUNT(ABC!$B$8:$B$507)=0,0,MIN(A416,COUNT(ABC!$B$8:$B$507))/COUNT(ABC!$B$8:$B$507))</f>
        <v/>
      </c>
      <c r="C416" s="13">
        <f>IF(COUNT(ABC!$B$8:$B$507)=0,0,SUMIF(ABC!$D$8:$D$507,"&lt;="&amp;MIN(A416,COUNT(ABC!$B$8:$B$507)),ABC!$B$8:$B$507)/SUM(ABC!$B$8:$B$507))</f>
        <v/>
      </c>
    </row>
    <row r="417">
      <c r="A417" t="n">
        <v>414</v>
      </c>
      <c r="B417" s="13">
        <f>IF(COUNT(ABC!$B$8:$B$507)=0,0,MIN(A417,COUNT(ABC!$B$8:$B$507))/COUNT(ABC!$B$8:$B$507))</f>
        <v/>
      </c>
      <c r="C417" s="13">
        <f>IF(COUNT(ABC!$B$8:$B$507)=0,0,SUMIF(ABC!$D$8:$D$507,"&lt;="&amp;MIN(A417,COUNT(ABC!$B$8:$B$507)),ABC!$B$8:$B$507)/SUM(ABC!$B$8:$B$507))</f>
        <v/>
      </c>
    </row>
    <row r="418">
      <c r="A418" t="n">
        <v>415</v>
      </c>
      <c r="B418" s="13">
        <f>IF(COUNT(ABC!$B$8:$B$507)=0,0,MIN(A418,COUNT(ABC!$B$8:$B$507))/COUNT(ABC!$B$8:$B$507))</f>
        <v/>
      </c>
      <c r="C418" s="13">
        <f>IF(COUNT(ABC!$B$8:$B$507)=0,0,SUMIF(ABC!$D$8:$D$507,"&lt;="&amp;MIN(A418,COUNT(ABC!$B$8:$B$507)),ABC!$B$8:$B$507)/SUM(ABC!$B$8:$B$507))</f>
        <v/>
      </c>
    </row>
    <row r="419">
      <c r="A419" t="n">
        <v>416</v>
      </c>
      <c r="B419" s="13">
        <f>IF(COUNT(ABC!$B$8:$B$507)=0,0,MIN(A419,COUNT(ABC!$B$8:$B$507))/COUNT(ABC!$B$8:$B$507))</f>
        <v/>
      </c>
      <c r="C419" s="13">
        <f>IF(COUNT(ABC!$B$8:$B$507)=0,0,SUMIF(ABC!$D$8:$D$507,"&lt;="&amp;MIN(A419,COUNT(ABC!$B$8:$B$507)),ABC!$B$8:$B$507)/SUM(ABC!$B$8:$B$507))</f>
        <v/>
      </c>
    </row>
    <row r="420">
      <c r="A420" t="n">
        <v>417</v>
      </c>
      <c r="B420" s="13">
        <f>IF(COUNT(ABC!$B$8:$B$507)=0,0,MIN(A420,COUNT(ABC!$B$8:$B$507))/COUNT(ABC!$B$8:$B$507))</f>
        <v/>
      </c>
      <c r="C420" s="13">
        <f>IF(COUNT(ABC!$B$8:$B$507)=0,0,SUMIF(ABC!$D$8:$D$507,"&lt;="&amp;MIN(A420,COUNT(ABC!$B$8:$B$507)),ABC!$B$8:$B$507)/SUM(ABC!$B$8:$B$507))</f>
        <v/>
      </c>
    </row>
    <row r="421">
      <c r="A421" t="n">
        <v>418</v>
      </c>
      <c r="B421" s="13">
        <f>IF(COUNT(ABC!$B$8:$B$507)=0,0,MIN(A421,COUNT(ABC!$B$8:$B$507))/COUNT(ABC!$B$8:$B$507))</f>
        <v/>
      </c>
      <c r="C421" s="13">
        <f>IF(COUNT(ABC!$B$8:$B$507)=0,0,SUMIF(ABC!$D$8:$D$507,"&lt;="&amp;MIN(A421,COUNT(ABC!$B$8:$B$507)),ABC!$B$8:$B$507)/SUM(ABC!$B$8:$B$507))</f>
        <v/>
      </c>
    </row>
    <row r="422">
      <c r="A422" t="n">
        <v>419</v>
      </c>
      <c r="B422" s="13">
        <f>IF(COUNT(ABC!$B$8:$B$507)=0,0,MIN(A422,COUNT(ABC!$B$8:$B$507))/COUNT(ABC!$B$8:$B$507))</f>
        <v/>
      </c>
      <c r="C422" s="13">
        <f>IF(COUNT(ABC!$B$8:$B$507)=0,0,SUMIF(ABC!$D$8:$D$507,"&lt;="&amp;MIN(A422,COUNT(ABC!$B$8:$B$507)),ABC!$B$8:$B$507)/SUM(ABC!$B$8:$B$507))</f>
        <v/>
      </c>
    </row>
    <row r="423">
      <c r="A423" t="n">
        <v>420</v>
      </c>
      <c r="B423" s="13">
        <f>IF(COUNT(ABC!$B$8:$B$507)=0,0,MIN(A423,COUNT(ABC!$B$8:$B$507))/COUNT(ABC!$B$8:$B$507))</f>
        <v/>
      </c>
      <c r="C423" s="13">
        <f>IF(COUNT(ABC!$B$8:$B$507)=0,0,SUMIF(ABC!$D$8:$D$507,"&lt;="&amp;MIN(A423,COUNT(ABC!$B$8:$B$507)),ABC!$B$8:$B$507)/SUM(ABC!$B$8:$B$507))</f>
        <v/>
      </c>
    </row>
    <row r="424">
      <c r="A424" t="n">
        <v>421</v>
      </c>
      <c r="B424" s="13">
        <f>IF(COUNT(ABC!$B$8:$B$507)=0,0,MIN(A424,COUNT(ABC!$B$8:$B$507))/COUNT(ABC!$B$8:$B$507))</f>
        <v/>
      </c>
      <c r="C424" s="13">
        <f>IF(COUNT(ABC!$B$8:$B$507)=0,0,SUMIF(ABC!$D$8:$D$507,"&lt;="&amp;MIN(A424,COUNT(ABC!$B$8:$B$507)),ABC!$B$8:$B$507)/SUM(ABC!$B$8:$B$507))</f>
        <v/>
      </c>
    </row>
    <row r="425">
      <c r="A425" t="n">
        <v>422</v>
      </c>
      <c r="B425" s="13">
        <f>IF(COUNT(ABC!$B$8:$B$507)=0,0,MIN(A425,COUNT(ABC!$B$8:$B$507))/COUNT(ABC!$B$8:$B$507))</f>
        <v/>
      </c>
      <c r="C425" s="13">
        <f>IF(COUNT(ABC!$B$8:$B$507)=0,0,SUMIF(ABC!$D$8:$D$507,"&lt;="&amp;MIN(A425,COUNT(ABC!$B$8:$B$507)),ABC!$B$8:$B$507)/SUM(ABC!$B$8:$B$507))</f>
        <v/>
      </c>
    </row>
    <row r="426">
      <c r="A426" t="n">
        <v>423</v>
      </c>
      <c r="B426" s="13">
        <f>IF(COUNT(ABC!$B$8:$B$507)=0,0,MIN(A426,COUNT(ABC!$B$8:$B$507))/COUNT(ABC!$B$8:$B$507))</f>
        <v/>
      </c>
      <c r="C426" s="13">
        <f>IF(COUNT(ABC!$B$8:$B$507)=0,0,SUMIF(ABC!$D$8:$D$507,"&lt;="&amp;MIN(A426,COUNT(ABC!$B$8:$B$507)),ABC!$B$8:$B$507)/SUM(ABC!$B$8:$B$507))</f>
        <v/>
      </c>
    </row>
    <row r="427">
      <c r="A427" t="n">
        <v>424</v>
      </c>
      <c r="B427" s="13">
        <f>IF(COUNT(ABC!$B$8:$B$507)=0,0,MIN(A427,COUNT(ABC!$B$8:$B$507))/COUNT(ABC!$B$8:$B$507))</f>
        <v/>
      </c>
      <c r="C427" s="13">
        <f>IF(COUNT(ABC!$B$8:$B$507)=0,0,SUMIF(ABC!$D$8:$D$507,"&lt;="&amp;MIN(A427,COUNT(ABC!$B$8:$B$507)),ABC!$B$8:$B$507)/SUM(ABC!$B$8:$B$507))</f>
        <v/>
      </c>
    </row>
    <row r="428">
      <c r="A428" t="n">
        <v>425</v>
      </c>
      <c r="B428" s="13">
        <f>IF(COUNT(ABC!$B$8:$B$507)=0,0,MIN(A428,COUNT(ABC!$B$8:$B$507))/COUNT(ABC!$B$8:$B$507))</f>
        <v/>
      </c>
      <c r="C428" s="13">
        <f>IF(COUNT(ABC!$B$8:$B$507)=0,0,SUMIF(ABC!$D$8:$D$507,"&lt;="&amp;MIN(A428,COUNT(ABC!$B$8:$B$507)),ABC!$B$8:$B$507)/SUM(ABC!$B$8:$B$507))</f>
        <v/>
      </c>
    </row>
    <row r="429">
      <c r="A429" t="n">
        <v>426</v>
      </c>
      <c r="B429" s="13">
        <f>IF(COUNT(ABC!$B$8:$B$507)=0,0,MIN(A429,COUNT(ABC!$B$8:$B$507))/COUNT(ABC!$B$8:$B$507))</f>
        <v/>
      </c>
      <c r="C429" s="13">
        <f>IF(COUNT(ABC!$B$8:$B$507)=0,0,SUMIF(ABC!$D$8:$D$507,"&lt;="&amp;MIN(A429,COUNT(ABC!$B$8:$B$507)),ABC!$B$8:$B$507)/SUM(ABC!$B$8:$B$507))</f>
        <v/>
      </c>
    </row>
    <row r="430">
      <c r="A430" t="n">
        <v>427</v>
      </c>
      <c r="B430" s="13">
        <f>IF(COUNT(ABC!$B$8:$B$507)=0,0,MIN(A430,COUNT(ABC!$B$8:$B$507))/COUNT(ABC!$B$8:$B$507))</f>
        <v/>
      </c>
      <c r="C430" s="13">
        <f>IF(COUNT(ABC!$B$8:$B$507)=0,0,SUMIF(ABC!$D$8:$D$507,"&lt;="&amp;MIN(A430,COUNT(ABC!$B$8:$B$507)),ABC!$B$8:$B$507)/SUM(ABC!$B$8:$B$507))</f>
        <v/>
      </c>
    </row>
    <row r="431">
      <c r="A431" t="n">
        <v>428</v>
      </c>
      <c r="B431" s="13">
        <f>IF(COUNT(ABC!$B$8:$B$507)=0,0,MIN(A431,COUNT(ABC!$B$8:$B$507))/COUNT(ABC!$B$8:$B$507))</f>
        <v/>
      </c>
      <c r="C431" s="13">
        <f>IF(COUNT(ABC!$B$8:$B$507)=0,0,SUMIF(ABC!$D$8:$D$507,"&lt;="&amp;MIN(A431,COUNT(ABC!$B$8:$B$507)),ABC!$B$8:$B$507)/SUM(ABC!$B$8:$B$507))</f>
        <v/>
      </c>
    </row>
    <row r="432">
      <c r="A432" t="n">
        <v>429</v>
      </c>
      <c r="B432" s="13">
        <f>IF(COUNT(ABC!$B$8:$B$507)=0,0,MIN(A432,COUNT(ABC!$B$8:$B$507))/COUNT(ABC!$B$8:$B$507))</f>
        <v/>
      </c>
      <c r="C432" s="13">
        <f>IF(COUNT(ABC!$B$8:$B$507)=0,0,SUMIF(ABC!$D$8:$D$507,"&lt;="&amp;MIN(A432,COUNT(ABC!$B$8:$B$507)),ABC!$B$8:$B$507)/SUM(ABC!$B$8:$B$507))</f>
        <v/>
      </c>
    </row>
    <row r="433">
      <c r="A433" t="n">
        <v>430</v>
      </c>
      <c r="B433" s="13">
        <f>IF(COUNT(ABC!$B$8:$B$507)=0,0,MIN(A433,COUNT(ABC!$B$8:$B$507))/COUNT(ABC!$B$8:$B$507))</f>
        <v/>
      </c>
      <c r="C433" s="13">
        <f>IF(COUNT(ABC!$B$8:$B$507)=0,0,SUMIF(ABC!$D$8:$D$507,"&lt;="&amp;MIN(A433,COUNT(ABC!$B$8:$B$507)),ABC!$B$8:$B$507)/SUM(ABC!$B$8:$B$507))</f>
        <v/>
      </c>
    </row>
    <row r="434">
      <c r="A434" t="n">
        <v>431</v>
      </c>
      <c r="B434" s="13">
        <f>IF(COUNT(ABC!$B$8:$B$507)=0,0,MIN(A434,COUNT(ABC!$B$8:$B$507))/COUNT(ABC!$B$8:$B$507))</f>
        <v/>
      </c>
      <c r="C434" s="13">
        <f>IF(COUNT(ABC!$B$8:$B$507)=0,0,SUMIF(ABC!$D$8:$D$507,"&lt;="&amp;MIN(A434,COUNT(ABC!$B$8:$B$507)),ABC!$B$8:$B$507)/SUM(ABC!$B$8:$B$507))</f>
        <v/>
      </c>
    </row>
    <row r="435">
      <c r="A435" t="n">
        <v>432</v>
      </c>
      <c r="B435" s="13">
        <f>IF(COUNT(ABC!$B$8:$B$507)=0,0,MIN(A435,COUNT(ABC!$B$8:$B$507))/COUNT(ABC!$B$8:$B$507))</f>
        <v/>
      </c>
      <c r="C435" s="13">
        <f>IF(COUNT(ABC!$B$8:$B$507)=0,0,SUMIF(ABC!$D$8:$D$507,"&lt;="&amp;MIN(A435,COUNT(ABC!$B$8:$B$507)),ABC!$B$8:$B$507)/SUM(ABC!$B$8:$B$507))</f>
        <v/>
      </c>
    </row>
    <row r="436">
      <c r="A436" t="n">
        <v>433</v>
      </c>
      <c r="B436" s="13">
        <f>IF(COUNT(ABC!$B$8:$B$507)=0,0,MIN(A436,COUNT(ABC!$B$8:$B$507))/COUNT(ABC!$B$8:$B$507))</f>
        <v/>
      </c>
      <c r="C436" s="13">
        <f>IF(COUNT(ABC!$B$8:$B$507)=0,0,SUMIF(ABC!$D$8:$D$507,"&lt;="&amp;MIN(A436,COUNT(ABC!$B$8:$B$507)),ABC!$B$8:$B$507)/SUM(ABC!$B$8:$B$507))</f>
        <v/>
      </c>
    </row>
    <row r="437">
      <c r="A437" t="n">
        <v>434</v>
      </c>
      <c r="B437" s="13">
        <f>IF(COUNT(ABC!$B$8:$B$507)=0,0,MIN(A437,COUNT(ABC!$B$8:$B$507))/COUNT(ABC!$B$8:$B$507))</f>
        <v/>
      </c>
      <c r="C437" s="13">
        <f>IF(COUNT(ABC!$B$8:$B$507)=0,0,SUMIF(ABC!$D$8:$D$507,"&lt;="&amp;MIN(A437,COUNT(ABC!$B$8:$B$507)),ABC!$B$8:$B$507)/SUM(ABC!$B$8:$B$507))</f>
        <v/>
      </c>
    </row>
    <row r="438">
      <c r="A438" t="n">
        <v>435</v>
      </c>
      <c r="B438" s="13">
        <f>IF(COUNT(ABC!$B$8:$B$507)=0,0,MIN(A438,COUNT(ABC!$B$8:$B$507))/COUNT(ABC!$B$8:$B$507))</f>
        <v/>
      </c>
      <c r="C438" s="13">
        <f>IF(COUNT(ABC!$B$8:$B$507)=0,0,SUMIF(ABC!$D$8:$D$507,"&lt;="&amp;MIN(A438,COUNT(ABC!$B$8:$B$507)),ABC!$B$8:$B$507)/SUM(ABC!$B$8:$B$507))</f>
        <v/>
      </c>
    </row>
    <row r="439">
      <c r="A439" t="n">
        <v>436</v>
      </c>
      <c r="B439" s="13">
        <f>IF(COUNT(ABC!$B$8:$B$507)=0,0,MIN(A439,COUNT(ABC!$B$8:$B$507))/COUNT(ABC!$B$8:$B$507))</f>
        <v/>
      </c>
      <c r="C439" s="13">
        <f>IF(COUNT(ABC!$B$8:$B$507)=0,0,SUMIF(ABC!$D$8:$D$507,"&lt;="&amp;MIN(A439,COUNT(ABC!$B$8:$B$507)),ABC!$B$8:$B$507)/SUM(ABC!$B$8:$B$507))</f>
        <v/>
      </c>
    </row>
    <row r="440">
      <c r="A440" t="n">
        <v>437</v>
      </c>
      <c r="B440" s="13">
        <f>IF(COUNT(ABC!$B$8:$B$507)=0,0,MIN(A440,COUNT(ABC!$B$8:$B$507))/COUNT(ABC!$B$8:$B$507))</f>
        <v/>
      </c>
      <c r="C440" s="13">
        <f>IF(COUNT(ABC!$B$8:$B$507)=0,0,SUMIF(ABC!$D$8:$D$507,"&lt;="&amp;MIN(A440,COUNT(ABC!$B$8:$B$507)),ABC!$B$8:$B$507)/SUM(ABC!$B$8:$B$507))</f>
        <v/>
      </c>
    </row>
    <row r="441">
      <c r="A441" t="n">
        <v>438</v>
      </c>
      <c r="B441" s="13">
        <f>IF(COUNT(ABC!$B$8:$B$507)=0,0,MIN(A441,COUNT(ABC!$B$8:$B$507))/COUNT(ABC!$B$8:$B$507))</f>
        <v/>
      </c>
      <c r="C441" s="13">
        <f>IF(COUNT(ABC!$B$8:$B$507)=0,0,SUMIF(ABC!$D$8:$D$507,"&lt;="&amp;MIN(A441,COUNT(ABC!$B$8:$B$507)),ABC!$B$8:$B$507)/SUM(ABC!$B$8:$B$507))</f>
        <v/>
      </c>
    </row>
    <row r="442">
      <c r="A442" t="n">
        <v>439</v>
      </c>
      <c r="B442" s="13">
        <f>IF(COUNT(ABC!$B$8:$B$507)=0,0,MIN(A442,COUNT(ABC!$B$8:$B$507))/COUNT(ABC!$B$8:$B$507))</f>
        <v/>
      </c>
      <c r="C442" s="13">
        <f>IF(COUNT(ABC!$B$8:$B$507)=0,0,SUMIF(ABC!$D$8:$D$507,"&lt;="&amp;MIN(A442,COUNT(ABC!$B$8:$B$507)),ABC!$B$8:$B$507)/SUM(ABC!$B$8:$B$507))</f>
        <v/>
      </c>
    </row>
    <row r="443">
      <c r="A443" t="n">
        <v>440</v>
      </c>
      <c r="B443" s="13">
        <f>IF(COUNT(ABC!$B$8:$B$507)=0,0,MIN(A443,COUNT(ABC!$B$8:$B$507))/COUNT(ABC!$B$8:$B$507))</f>
        <v/>
      </c>
      <c r="C443" s="13">
        <f>IF(COUNT(ABC!$B$8:$B$507)=0,0,SUMIF(ABC!$D$8:$D$507,"&lt;="&amp;MIN(A443,COUNT(ABC!$B$8:$B$507)),ABC!$B$8:$B$507)/SUM(ABC!$B$8:$B$507))</f>
        <v/>
      </c>
    </row>
    <row r="444">
      <c r="A444" t="n">
        <v>441</v>
      </c>
      <c r="B444" s="13">
        <f>IF(COUNT(ABC!$B$8:$B$507)=0,0,MIN(A444,COUNT(ABC!$B$8:$B$507))/COUNT(ABC!$B$8:$B$507))</f>
        <v/>
      </c>
      <c r="C444" s="13">
        <f>IF(COUNT(ABC!$B$8:$B$507)=0,0,SUMIF(ABC!$D$8:$D$507,"&lt;="&amp;MIN(A444,COUNT(ABC!$B$8:$B$507)),ABC!$B$8:$B$507)/SUM(ABC!$B$8:$B$507))</f>
        <v/>
      </c>
    </row>
    <row r="445">
      <c r="A445" t="n">
        <v>442</v>
      </c>
      <c r="B445" s="13">
        <f>IF(COUNT(ABC!$B$8:$B$507)=0,0,MIN(A445,COUNT(ABC!$B$8:$B$507))/COUNT(ABC!$B$8:$B$507))</f>
        <v/>
      </c>
      <c r="C445" s="13">
        <f>IF(COUNT(ABC!$B$8:$B$507)=0,0,SUMIF(ABC!$D$8:$D$507,"&lt;="&amp;MIN(A445,COUNT(ABC!$B$8:$B$507)),ABC!$B$8:$B$507)/SUM(ABC!$B$8:$B$507))</f>
        <v/>
      </c>
    </row>
    <row r="446">
      <c r="A446" t="n">
        <v>443</v>
      </c>
      <c r="B446" s="13">
        <f>IF(COUNT(ABC!$B$8:$B$507)=0,0,MIN(A446,COUNT(ABC!$B$8:$B$507))/COUNT(ABC!$B$8:$B$507))</f>
        <v/>
      </c>
      <c r="C446" s="13">
        <f>IF(COUNT(ABC!$B$8:$B$507)=0,0,SUMIF(ABC!$D$8:$D$507,"&lt;="&amp;MIN(A446,COUNT(ABC!$B$8:$B$507)),ABC!$B$8:$B$507)/SUM(ABC!$B$8:$B$507))</f>
        <v/>
      </c>
    </row>
    <row r="447">
      <c r="A447" t="n">
        <v>444</v>
      </c>
      <c r="B447" s="13">
        <f>IF(COUNT(ABC!$B$8:$B$507)=0,0,MIN(A447,COUNT(ABC!$B$8:$B$507))/COUNT(ABC!$B$8:$B$507))</f>
        <v/>
      </c>
      <c r="C447" s="13">
        <f>IF(COUNT(ABC!$B$8:$B$507)=0,0,SUMIF(ABC!$D$8:$D$507,"&lt;="&amp;MIN(A447,COUNT(ABC!$B$8:$B$507)),ABC!$B$8:$B$507)/SUM(ABC!$B$8:$B$507))</f>
        <v/>
      </c>
    </row>
    <row r="448">
      <c r="A448" t="n">
        <v>445</v>
      </c>
      <c r="B448" s="13">
        <f>IF(COUNT(ABC!$B$8:$B$507)=0,0,MIN(A448,COUNT(ABC!$B$8:$B$507))/COUNT(ABC!$B$8:$B$507))</f>
        <v/>
      </c>
      <c r="C448" s="13">
        <f>IF(COUNT(ABC!$B$8:$B$507)=0,0,SUMIF(ABC!$D$8:$D$507,"&lt;="&amp;MIN(A448,COUNT(ABC!$B$8:$B$507)),ABC!$B$8:$B$507)/SUM(ABC!$B$8:$B$507))</f>
        <v/>
      </c>
    </row>
    <row r="449">
      <c r="A449" t="n">
        <v>446</v>
      </c>
      <c r="B449" s="13">
        <f>IF(COUNT(ABC!$B$8:$B$507)=0,0,MIN(A449,COUNT(ABC!$B$8:$B$507))/COUNT(ABC!$B$8:$B$507))</f>
        <v/>
      </c>
      <c r="C449" s="13">
        <f>IF(COUNT(ABC!$B$8:$B$507)=0,0,SUMIF(ABC!$D$8:$D$507,"&lt;="&amp;MIN(A449,COUNT(ABC!$B$8:$B$507)),ABC!$B$8:$B$507)/SUM(ABC!$B$8:$B$507))</f>
        <v/>
      </c>
    </row>
    <row r="450">
      <c r="A450" t="n">
        <v>447</v>
      </c>
      <c r="B450" s="13">
        <f>IF(COUNT(ABC!$B$8:$B$507)=0,0,MIN(A450,COUNT(ABC!$B$8:$B$507))/COUNT(ABC!$B$8:$B$507))</f>
        <v/>
      </c>
      <c r="C450" s="13">
        <f>IF(COUNT(ABC!$B$8:$B$507)=0,0,SUMIF(ABC!$D$8:$D$507,"&lt;="&amp;MIN(A450,COUNT(ABC!$B$8:$B$507)),ABC!$B$8:$B$507)/SUM(ABC!$B$8:$B$507))</f>
        <v/>
      </c>
    </row>
    <row r="451">
      <c r="A451" t="n">
        <v>448</v>
      </c>
      <c r="B451" s="13">
        <f>IF(COUNT(ABC!$B$8:$B$507)=0,0,MIN(A451,COUNT(ABC!$B$8:$B$507))/COUNT(ABC!$B$8:$B$507))</f>
        <v/>
      </c>
      <c r="C451" s="13">
        <f>IF(COUNT(ABC!$B$8:$B$507)=0,0,SUMIF(ABC!$D$8:$D$507,"&lt;="&amp;MIN(A451,COUNT(ABC!$B$8:$B$507)),ABC!$B$8:$B$507)/SUM(ABC!$B$8:$B$507))</f>
        <v/>
      </c>
    </row>
    <row r="452">
      <c r="A452" t="n">
        <v>449</v>
      </c>
      <c r="B452" s="13">
        <f>IF(COUNT(ABC!$B$8:$B$507)=0,0,MIN(A452,COUNT(ABC!$B$8:$B$507))/COUNT(ABC!$B$8:$B$507))</f>
        <v/>
      </c>
      <c r="C452" s="13">
        <f>IF(COUNT(ABC!$B$8:$B$507)=0,0,SUMIF(ABC!$D$8:$D$507,"&lt;="&amp;MIN(A452,COUNT(ABC!$B$8:$B$507)),ABC!$B$8:$B$507)/SUM(ABC!$B$8:$B$507))</f>
        <v/>
      </c>
    </row>
    <row r="453">
      <c r="A453" t="n">
        <v>450</v>
      </c>
      <c r="B453" s="13">
        <f>IF(COUNT(ABC!$B$8:$B$507)=0,0,MIN(A453,COUNT(ABC!$B$8:$B$507))/COUNT(ABC!$B$8:$B$507))</f>
        <v/>
      </c>
      <c r="C453" s="13">
        <f>IF(COUNT(ABC!$B$8:$B$507)=0,0,SUMIF(ABC!$D$8:$D$507,"&lt;="&amp;MIN(A453,COUNT(ABC!$B$8:$B$507)),ABC!$B$8:$B$507)/SUM(ABC!$B$8:$B$507))</f>
        <v/>
      </c>
    </row>
    <row r="454">
      <c r="A454" t="n">
        <v>451</v>
      </c>
      <c r="B454" s="13">
        <f>IF(COUNT(ABC!$B$8:$B$507)=0,0,MIN(A454,COUNT(ABC!$B$8:$B$507))/COUNT(ABC!$B$8:$B$507))</f>
        <v/>
      </c>
      <c r="C454" s="13">
        <f>IF(COUNT(ABC!$B$8:$B$507)=0,0,SUMIF(ABC!$D$8:$D$507,"&lt;="&amp;MIN(A454,COUNT(ABC!$B$8:$B$507)),ABC!$B$8:$B$507)/SUM(ABC!$B$8:$B$507))</f>
        <v/>
      </c>
    </row>
    <row r="455">
      <c r="A455" t="n">
        <v>452</v>
      </c>
      <c r="B455" s="13">
        <f>IF(COUNT(ABC!$B$8:$B$507)=0,0,MIN(A455,COUNT(ABC!$B$8:$B$507))/COUNT(ABC!$B$8:$B$507))</f>
        <v/>
      </c>
      <c r="C455" s="13">
        <f>IF(COUNT(ABC!$B$8:$B$507)=0,0,SUMIF(ABC!$D$8:$D$507,"&lt;="&amp;MIN(A455,COUNT(ABC!$B$8:$B$507)),ABC!$B$8:$B$507)/SUM(ABC!$B$8:$B$507))</f>
        <v/>
      </c>
    </row>
    <row r="456">
      <c r="A456" t="n">
        <v>453</v>
      </c>
      <c r="B456" s="13">
        <f>IF(COUNT(ABC!$B$8:$B$507)=0,0,MIN(A456,COUNT(ABC!$B$8:$B$507))/COUNT(ABC!$B$8:$B$507))</f>
        <v/>
      </c>
      <c r="C456" s="13">
        <f>IF(COUNT(ABC!$B$8:$B$507)=0,0,SUMIF(ABC!$D$8:$D$507,"&lt;="&amp;MIN(A456,COUNT(ABC!$B$8:$B$507)),ABC!$B$8:$B$507)/SUM(ABC!$B$8:$B$507))</f>
        <v/>
      </c>
    </row>
    <row r="457">
      <c r="A457" t="n">
        <v>454</v>
      </c>
      <c r="B457" s="13">
        <f>IF(COUNT(ABC!$B$8:$B$507)=0,0,MIN(A457,COUNT(ABC!$B$8:$B$507))/COUNT(ABC!$B$8:$B$507))</f>
        <v/>
      </c>
      <c r="C457" s="13">
        <f>IF(COUNT(ABC!$B$8:$B$507)=0,0,SUMIF(ABC!$D$8:$D$507,"&lt;="&amp;MIN(A457,COUNT(ABC!$B$8:$B$507)),ABC!$B$8:$B$507)/SUM(ABC!$B$8:$B$507))</f>
        <v/>
      </c>
    </row>
    <row r="458">
      <c r="A458" t="n">
        <v>455</v>
      </c>
      <c r="B458" s="13">
        <f>IF(COUNT(ABC!$B$8:$B$507)=0,0,MIN(A458,COUNT(ABC!$B$8:$B$507))/COUNT(ABC!$B$8:$B$507))</f>
        <v/>
      </c>
      <c r="C458" s="13">
        <f>IF(COUNT(ABC!$B$8:$B$507)=0,0,SUMIF(ABC!$D$8:$D$507,"&lt;="&amp;MIN(A458,COUNT(ABC!$B$8:$B$507)),ABC!$B$8:$B$507)/SUM(ABC!$B$8:$B$507))</f>
        <v/>
      </c>
    </row>
    <row r="459">
      <c r="A459" t="n">
        <v>456</v>
      </c>
      <c r="B459" s="13">
        <f>IF(COUNT(ABC!$B$8:$B$507)=0,0,MIN(A459,COUNT(ABC!$B$8:$B$507))/COUNT(ABC!$B$8:$B$507))</f>
        <v/>
      </c>
      <c r="C459" s="13">
        <f>IF(COUNT(ABC!$B$8:$B$507)=0,0,SUMIF(ABC!$D$8:$D$507,"&lt;="&amp;MIN(A459,COUNT(ABC!$B$8:$B$507)),ABC!$B$8:$B$507)/SUM(ABC!$B$8:$B$507))</f>
        <v/>
      </c>
    </row>
    <row r="460">
      <c r="A460" t="n">
        <v>457</v>
      </c>
      <c r="B460" s="13">
        <f>IF(COUNT(ABC!$B$8:$B$507)=0,0,MIN(A460,COUNT(ABC!$B$8:$B$507))/COUNT(ABC!$B$8:$B$507))</f>
        <v/>
      </c>
      <c r="C460" s="13">
        <f>IF(COUNT(ABC!$B$8:$B$507)=0,0,SUMIF(ABC!$D$8:$D$507,"&lt;="&amp;MIN(A460,COUNT(ABC!$B$8:$B$507)),ABC!$B$8:$B$507)/SUM(ABC!$B$8:$B$507))</f>
        <v/>
      </c>
    </row>
    <row r="461">
      <c r="A461" t="n">
        <v>458</v>
      </c>
      <c r="B461" s="13">
        <f>IF(COUNT(ABC!$B$8:$B$507)=0,0,MIN(A461,COUNT(ABC!$B$8:$B$507))/COUNT(ABC!$B$8:$B$507))</f>
        <v/>
      </c>
      <c r="C461" s="13">
        <f>IF(COUNT(ABC!$B$8:$B$507)=0,0,SUMIF(ABC!$D$8:$D$507,"&lt;="&amp;MIN(A461,COUNT(ABC!$B$8:$B$507)),ABC!$B$8:$B$507)/SUM(ABC!$B$8:$B$507))</f>
        <v/>
      </c>
    </row>
    <row r="462">
      <c r="A462" t="n">
        <v>459</v>
      </c>
      <c r="B462" s="13">
        <f>IF(COUNT(ABC!$B$8:$B$507)=0,0,MIN(A462,COUNT(ABC!$B$8:$B$507))/COUNT(ABC!$B$8:$B$507))</f>
        <v/>
      </c>
      <c r="C462" s="13">
        <f>IF(COUNT(ABC!$B$8:$B$507)=0,0,SUMIF(ABC!$D$8:$D$507,"&lt;="&amp;MIN(A462,COUNT(ABC!$B$8:$B$507)),ABC!$B$8:$B$507)/SUM(ABC!$B$8:$B$507))</f>
        <v/>
      </c>
    </row>
    <row r="463">
      <c r="A463" t="n">
        <v>460</v>
      </c>
      <c r="B463" s="13">
        <f>IF(COUNT(ABC!$B$8:$B$507)=0,0,MIN(A463,COUNT(ABC!$B$8:$B$507))/COUNT(ABC!$B$8:$B$507))</f>
        <v/>
      </c>
      <c r="C463" s="13">
        <f>IF(COUNT(ABC!$B$8:$B$507)=0,0,SUMIF(ABC!$D$8:$D$507,"&lt;="&amp;MIN(A463,COUNT(ABC!$B$8:$B$507)),ABC!$B$8:$B$507)/SUM(ABC!$B$8:$B$507))</f>
        <v/>
      </c>
    </row>
    <row r="464">
      <c r="A464" t="n">
        <v>461</v>
      </c>
      <c r="B464" s="13">
        <f>IF(COUNT(ABC!$B$8:$B$507)=0,0,MIN(A464,COUNT(ABC!$B$8:$B$507))/COUNT(ABC!$B$8:$B$507))</f>
        <v/>
      </c>
      <c r="C464" s="13">
        <f>IF(COUNT(ABC!$B$8:$B$507)=0,0,SUMIF(ABC!$D$8:$D$507,"&lt;="&amp;MIN(A464,COUNT(ABC!$B$8:$B$507)),ABC!$B$8:$B$507)/SUM(ABC!$B$8:$B$507))</f>
        <v/>
      </c>
    </row>
    <row r="465">
      <c r="A465" t="n">
        <v>462</v>
      </c>
      <c r="B465" s="13">
        <f>IF(COUNT(ABC!$B$8:$B$507)=0,0,MIN(A465,COUNT(ABC!$B$8:$B$507))/COUNT(ABC!$B$8:$B$507))</f>
        <v/>
      </c>
      <c r="C465" s="13">
        <f>IF(COUNT(ABC!$B$8:$B$507)=0,0,SUMIF(ABC!$D$8:$D$507,"&lt;="&amp;MIN(A465,COUNT(ABC!$B$8:$B$507)),ABC!$B$8:$B$507)/SUM(ABC!$B$8:$B$507))</f>
        <v/>
      </c>
    </row>
    <row r="466">
      <c r="A466" t="n">
        <v>463</v>
      </c>
      <c r="B466" s="13">
        <f>IF(COUNT(ABC!$B$8:$B$507)=0,0,MIN(A466,COUNT(ABC!$B$8:$B$507))/COUNT(ABC!$B$8:$B$507))</f>
        <v/>
      </c>
      <c r="C466" s="13">
        <f>IF(COUNT(ABC!$B$8:$B$507)=0,0,SUMIF(ABC!$D$8:$D$507,"&lt;="&amp;MIN(A466,COUNT(ABC!$B$8:$B$507)),ABC!$B$8:$B$507)/SUM(ABC!$B$8:$B$507))</f>
        <v/>
      </c>
    </row>
    <row r="467">
      <c r="A467" t="n">
        <v>464</v>
      </c>
      <c r="B467" s="13">
        <f>IF(COUNT(ABC!$B$8:$B$507)=0,0,MIN(A467,COUNT(ABC!$B$8:$B$507))/COUNT(ABC!$B$8:$B$507))</f>
        <v/>
      </c>
      <c r="C467" s="13">
        <f>IF(COUNT(ABC!$B$8:$B$507)=0,0,SUMIF(ABC!$D$8:$D$507,"&lt;="&amp;MIN(A467,COUNT(ABC!$B$8:$B$507)),ABC!$B$8:$B$507)/SUM(ABC!$B$8:$B$507))</f>
        <v/>
      </c>
    </row>
    <row r="468">
      <c r="A468" t="n">
        <v>465</v>
      </c>
      <c r="B468" s="13">
        <f>IF(COUNT(ABC!$B$8:$B$507)=0,0,MIN(A468,COUNT(ABC!$B$8:$B$507))/COUNT(ABC!$B$8:$B$507))</f>
        <v/>
      </c>
      <c r="C468" s="13">
        <f>IF(COUNT(ABC!$B$8:$B$507)=0,0,SUMIF(ABC!$D$8:$D$507,"&lt;="&amp;MIN(A468,COUNT(ABC!$B$8:$B$507)),ABC!$B$8:$B$507)/SUM(ABC!$B$8:$B$507))</f>
        <v/>
      </c>
    </row>
    <row r="469">
      <c r="A469" t="n">
        <v>466</v>
      </c>
      <c r="B469" s="13">
        <f>IF(COUNT(ABC!$B$8:$B$507)=0,0,MIN(A469,COUNT(ABC!$B$8:$B$507))/COUNT(ABC!$B$8:$B$507))</f>
        <v/>
      </c>
      <c r="C469" s="13">
        <f>IF(COUNT(ABC!$B$8:$B$507)=0,0,SUMIF(ABC!$D$8:$D$507,"&lt;="&amp;MIN(A469,COUNT(ABC!$B$8:$B$507)),ABC!$B$8:$B$507)/SUM(ABC!$B$8:$B$507))</f>
        <v/>
      </c>
    </row>
    <row r="470">
      <c r="A470" t="n">
        <v>467</v>
      </c>
      <c r="B470" s="13">
        <f>IF(COUNT(ABC!$B$8:$B$507)=0,0,MIN(A470,COUNT(ABC!$B$8:$B$507))/COUNT(ABC!$B$8:$B$507))</f>
        <v/>
      </c>
      <c r="C470" s="13">
        <f>IF(COUNT(ABC!$B$8:$B$507)=0,0,SUMIF(ABC!$D$8:$D$507,"&lt;="&amp;MIN(A470,COUNT(ABC!$B$8:$B$507)),ABC!$B$8:$B$507)/SUM(ABC!$B$8:$B$507))</f>
        <v/>
      </c>
    </row>
    <row r="471">
      <c r="A471" t="n">
        <v>468</v>
      </c>
      <c r="B471" s="13">
        <f>IF(COUNT(ABC!$B$8:$B$507)=0,0,MIN(A471,COUNT(ABC!$B$8:$B$507))/COUNT(ABC!$B$8:$B$507))</f>
        <v/>
      </c>
      <c r="C471" s="13">
        <f>IF(COUNT(ABC!$B$8:$B$507)=0,0,SUMIF(ABC!$D$8:$D$507,"&lt;="&amp;MIN(A471,COUNT(ABC!$B$8:$B$507)),ABC!$B$8:$B$507)/SUM(ABC!$B$8:$B$507))</f>
        <v/>
      </c>
    </row>
    <row r="472">
      <c r="A472" t="n">
        <v>469</v>
      </c>
      <c r="B472" s="13">
        <f>IF(COUNT(ABC!$B$8:$B$507)=0,0,MIN(A472,COUNT(ABC!$B$8:$B$507))/COUNT(ABC!$B$8:$B$507))</f>
        <v/>
      </c>
      <c r="C472" s="13">
        <f>IF(COUNT(ABC!$B$8:$B$507)=0,0,SUMIF(ABC!$D$8:$D$507,"&lt;="&amp;MIN(A472,COUNT(ABC!$B$8:$B$507)),ABC!$B$8:$B$507)/SUM(ABC!$B$8:$B$507))</f>
        <v/>
      </c>
    </row>
    <row r="473">
      <c r="A473" t="n">
        <v>470</v>
      </c>
      <c r="B473" s="13">
        <f>IF(COUNT(ABC!$B$8:$B$507)=0,0,MIN(A473,COUNT(ABC!$B$8:$B$507))/COUNT(ABC!$B$8:$B$507))</f>
        <v/>
      </c>
      <c r="C473" s="13">
        <f>IF(COUNT(ABC!$B$8:$B$507)=0,0,SUMIF(ABC!$D$8:$D$507,"&lt;="&amp;MIN(A473,COUNT(ABC!$B$8:$B$507)),ABC!$B$8:$B$507)/SUM(ABC!$B$8:$B$507))</f>
        <v/>
      </c>
    </row>
    <row r="474">
      <c r="A474" t="n">
        <v>471</v>
      </c>
      <c r="B474" s="13">
        <f>IF(COUNT(ABC!$B$8:$B$507)=0,0,MIN(A474,COUNT(ABC!$B$8:$B$507))/COUNT(ABC!$B$8:$B$507))</f>
        <v/>
      </c>
      <c r="C474" s="13">
        <f>IF(COUNT(ABC!$B$8:$B$507)=0,0,SUMIF(ABC!$D$8:$D$507,"&lt;="&amp;MIN(A474,COUNT(ABC!$B$8:$B$507)),ABC!$B$8:$B$507)/SUM(ABC!$B$8:$B$507))</f>
        <v/>
      </c>
    </row>
    <row r="475">
      <c r="A475" t="n">
        <v>472</v>
      </c>
      <c r="B475" s="13">
        <f>IF(COUNT(ABC!$B$8:$B$507)=0,0,MIN(A475,COUNT(ABC!$B$8:$B$507))/COUNT(ABC!$B$8:$B$507))</f>
        <v/>
      </c>
      <c r="C475" s="13">
        <f>IF(COUNT(ABC!$B$8:$B$507)=0,0,SUMIF(ABC!$D$8:$D$507,"&lt;="&amp;MIN(A475,COUNT(ABC!$B$8:$B$507)),ABC!$B$8:$B$507)/SUM(ABC!$B$8:$B$507))</f>
        <v/>
      </c>
    </row>
    <row r="476">
      <c r="A476" t="n">
        <v>473</v>
      </c>
      <c r="B476" s="13">
        <f>IF(COUNT(ABC!$B$8:$B$507)=0,0,MIN(A476,COUNT(ABC!$B$8:$B$507))/COUNT(ABC!$B$8:$B$507))</f>
        <v/>
      </c>
      <c r="C476" s="13">
        <f>IF(COUNT(ABC!$B$8:$B$507)=0,0,SUMIF(ABC!$D$8:$D$507,"&lt;="&amp;MIN(A476,COUNT(ABC!$B$8:$B$507)),ABC!$B$8:$B$507)/SUM(ABC!$B$8:$B$507))</f>
        <v/>
      </c>
    </row>
    <row r="477">
      <c r="A477" t="n">
        <v>474</v>
      </c>
      <c r="B477" s="13">
        <f>IF(COUNT(ABC!$B$8:$B$507)=0,0,MIN(A477,COUNT(ABC!$B$8:$B$507))/COUNT(ABC!$B$8:$B$507))</f>
        <v/>
      </c>
      <c r="C477" s="13">
        <f>IF(COUNT(ABC!$B$8:$B$507)=0,0,SUMIF(ABC!$D$8:$D$507,"&lt;="&amp;MIN(A477,COUNT(ABC!$B$8:$B$507)),ABC!$B$8:$B$507)/SUM(ABC!$B$8:$B$507))</f>
        <v/>
      </c>
    </row>
    <row r="478">
      <c r="A478" t="n">
        <v>475</v>
      </c>
      <c r="B478" s="13">
        <f>IF(COUNT(ABC!$B$8:$B$507)=0,0,MIN(A478,COUNT(ABC!$B$8:$B$507))/COUNT(ABC!$B$8:$B$507))</f>
        <v/>
      </c>
      <c r="C478" s="13">
        <f>IF(COUNT(ABC!$B$8:$B$507)=0,0,SUMIF(ABC!$D$8:$D$507,"&lt;="&amp;MIN(A478,COUNT(ABC!$B$8:$B$507)),ABC!$B$8:$B$507)/SUM(ABC!$B$8:$B$507))</f>
        <v/>
      </c>
    </row>
    <row r="479">
      <c r="A479" t="n">
        <v>476</v>
      </c>
      <c r="B479" s="13">
        <f>IF(COUNT(ABC!$B$8:$B$507)=0,0,MIN(A479,COUNT(ABC!$B$8:$B$507))/COUNT(ABC!$B$8:$B$507))</f>
        <v/>
      </c>
      <c r="C479" s="13">
        <f>IF(COUNT(ABC!$B$8:$B$507)=0,0,SUMIF(ABC!$D$8:$D$507,"&lt;="&amp;MIN(A479,COUNT(ABC!$B$8:$B$507)),ABC!$B$8:$B$507)/SUM(ABC!$B$8:$B$507))</f>
        <v/>
      </c>
    </row>
    <row r="480">
      <c r="A480" t="n">
        <v>477</v>
      </c>
      <c r="B480" s="13">
        <f>IF(COUNT(ABC!$B$8:$B$507)=0,0,MIN(A480,COUNT(ABC!$B$8:$B$507))/COUNT(ABC!$B$8:$B$507))</f>
        <v/>
      </c>
      <c r="C480" s="13">
        <f>IF(COUNT(ABC!$B$8:$B$507)=0,0,SUMIF(ABC!$D$8:$D$507,"&lt;="&amp;MIN(A480,COUNT(ABC!$B$8:$B$507)),ABC!$B$8:$B$507)/SUM(ABC!$B$8:$B$507))</f>
        <v/>
      </c>
    </row>
    <row r="481">
      <c r="A481" t="n">
        <v>478</v>
      </c>
      <c r="B481" s="13">
        <f>IF(COUNT(ABC!$B$8:$B$507)=0,0,MIN(A481,COUNT(ABC!$B$8:$B$507))/COUNT(ABC!$B$8:$B$507))</f>
        <v/>
      </c>
      <c r="C481" s="13">
        <f>IF(COUNT(ABC!$B$8:$B$507)=0,0,SUMIF(ABC!$D$8:$D$507,"&lt;="&amp;MIN(A481,COUNT(ABC!$B$8:$B$507)),ABC!$B$8:$B$507)/SUM(ABC!$B$8:$B$507))</f>
        <v/>
      </c>
    </row>
    <row r="482">
      <c r="A482" t="n">
        <v>479</v>
      </c>
      <c r="B482" s="13">
        <f>IF(COUNT(ABC!$B$8:$B$507)=0,0,MIN(A482,COUNT(ABC!$B$8:$B$507))/COUNT(ABC!$B$8:$B$507))</f>
        <v/>
      </c>
      <c r="C482" s="13">
        <f>IF(COUNT(ABC!$B$8:$B$507)=0,0,SUMIF(ABC!$D$8:$D$507,"&lt;="&amp;MIN(A482,COUNT(ABC!$B$8:$B$507)),ABC!$B$8:$B$507)/SUM(ABC!$B$8:$B$507))</f>
        <v/>
      </c>
    </row>
    <row r="483">
      <c r="A483" t="n">
        <v>480</v>
      </c>
      <c r="B483" s="13">
        <f>IF(COUNT(ABC!$B$8:$B$507)=0,0,MIN(A483,COUNT(ABC!$B$8:$B$507))/COUNT(ABC!$B$8:$B$507))</f>
        <v/>
      </c>
      <c r="C483" s="13">
        <f>IF(COUNT(ABC!$B$8:$B$507)=0,0,SUMIF(ABC!$D$8:$D$507,"&lt;="&amp;MIN(A483,COUNT(ABC!$B$8:$B$507)),ABC!$B$8:$B$507)/SUM(ABC!$B$8:$B$507))</f>
        <v/>
      </c>
    </row>
    <row r="484">
      <c r="A484" t="n">
        <v>481</v>
      </c>
      <c r="B484" s="13">
        <f>IF(COUNT(ABC!$B$8:$B$507)=0,0,MIN(A484,COUNT(ABC!$B$8:$B$507))/COUNT(ABC!$B$8:$B$507))</f>
        <v/>
      </c>
      <c r="C484" s="13">
        <f>IF(COUNT(ABC!$B$8:$B$507)=0,0,SUMIF(ABC!$D$8:$D$507,"&lt;="&amp;MIN(A484,COUNT(ABC!$B$8:$B$507)),ABC!$B$8:$B$507)/SUM(ABC!$B$8:$B$507))</f>
        <v/>
      </c>
    </row>
    <row r="485">
      <c r="A485" t="n">
        <v>482</v>
      </c>
      <c r="B485" s="13">
        <f>IF(COUNT(ABC!$B$8:$B$507)=0,0,MIN(A485,COUNT(ABC!$B$8:$B$507))/COUNT(ABC!$B$8:$B$507))</f>
        <v/>
      </c>
      <c r="C485" s="13">
        <f>IF(COUNT(ABC!$B$8:$B$507)=0,0,SUMIF(ABC!$D$8:$D$507,"&lt;="&amp;MIN(A485,COUNT(ABC!$B$8:$B$507)),ABC!$B$8:$B$507)/SUM(ABC!$B$8:$B$507))</f>
        <v/>
      </c>
    </row>
    <row r="486">
      <c r="A486" t="n">
        <v>483</v>
      </c>
      <c r="B486" s="13">
        <f>IF(COUNT(ABC!$B$8:$B$507)=0,0,MIN(A486,COUNT(ABC!$B$8:$B$507))/COUNT(ABC!$B$8:$B$507))</f>
        <v/>
      </c>
      <c r="C486" s="13">
        <f>IF(COUNT(ABC!$B$8:$B$507)=0,0,SUMIF(ABC!$D$8:$D$507,"&lt;="&amp;MIN(A486,COUNT(ABC!$B$8:$B$507)),ABC!$B$8:$B$507)/SUM(ABC!$B$8:$B$507))</f>
        <v/>
      </c>
    </row>
    <row r="487">
      <c r="A487" t="n">
        <v>484</v>
      </c>
      <c r="B487" s="13">
        <f>IF(COUNT(ABC!$B$8:$B$507)=0,0,MIN(A487,COUNT(ABC!$B$8:$B$507))/COUNT(ABC!$B$8:$B$507))</f>
        <v/>
      </c>
      <c r="C487" s="13">
        <f>IF(COUNT(ABC!$B$8:$B$507)=0,0,SUMIF(ABC!$D$8:$D$507,"&lt;="&amp;MIN(A487,COUNT(ABC!$B$8:$B$507)),ABC!$B$8:$B$507)/SUM(ABC!$B$8:$B$507))</f>
        <v/>
      </c>
    </row>
    <row r="488">
      <c r="A488" t="n">
        <v>485</v>
      </c>
      <c r="B488" s="13">
        <f>IF(COUNT(ABC!$B$8:$B$507)=0,0,MIN(A488,COUNT(ABC!$B$8:$B$507))/COUNT(ABC!$B$8:$B$507))</f>
        <v/>
      </c>
      <c r="C488" s="13">
        <f>IF(COUNT(ABC!$B$8:$B$507)=0,0,SUMIF(ABC!$D$8:$D$507,"&lt;="&amp;MIN(A488,COUNT(ABC!$B$8:$B$507)),ABC!$B$8:$B$507)/SUM(ABC!$B$8:$B$507))</f>
        <v/>
      </c>
    </row>
    <row r="489">
      <c r="A489" t="n">
        <v>486</v>
      </c>
      <c r="B489" s="13">
        <f>IF(COUNT(ABC!$B$8:$B$507)=0,0,MIN(A489,COUNT(ABC!$B$8:$B$507))/COUNT(ABC!$B$8:$B$507))</f>
        <v/>
      </c>
      <c r="C489" s="13">
        <f>IF(COUNT(ABC!$B$8:$B$507)=0,0,SUMIF(ABC!$D$8:$D$507,"&lt;="&amp;MIN(A489,COUNT(ABC!$B$8:$B$507)),ABC!$B$8:$B$507)/SUM(ABC!$B$8:$B$507))</f>
        <v/>
      </c>
    </row>
    <row r="490">
      <c r="A490" t="n">
        <v>487</v>
      </c>
      <c r="B490" s="13">
        <f>IF(COUNT(ABC!$B$8:$B$507)=0,0,MIN(A490,COUNT(ABC!$B$8:$B$507))/COUNT(ABC!$B$8:$B$507))</f>
        <v/>
      </c>
      <c r="C490" s="13">
        <f>IF(COUNT(ABC!$B$8:$B$507)=0,0,SUMIF(ABC!$D$8:$D$507,"&lt;="&amp;MIN(A490,COUNT(ABC!$B$8:$B$507)),ABC!$B$8:$B$507)/SUM(ABC!$B$8:$B$507))</f>
        <v/>
      </c>
    </row>
    <row r="491">
      <c r="A491" t="n">
        <v>488</v>
      </c>
      <c r="B491" s="13">
        <f>IF(COUNT(ABC!$B$8:$B$507)=0,0,MIN(A491,COUNT(ABC!$B$8:$B$507))/COUNT(ABC!$B$8:$B$507))</f>
        <v/>
      </c>
      <c r="C491" s="13">
        <f>IF(COUNT(ABC!$B$8:$B$507)=0,0,SUMIF(ABC!$D$8:$D$507,"&lt;="&amp;MIN(A491,COUNT(ABC!$B$8:$B$507)),ABC!$B$8:$B$507)/SUM(ABC!$B$8:$B$507))</f>
        <v/>
      </c>
    </row>
    <row r="492">
      <c r="A492" t="n">
        <v>489</v>
      </c>
      <c r="B492" s="13">
        <f>IF(COUNT(ABC!$B$8:$B$507)=0,0,MIN(A492,COUNT(ABC!$B$8:$B$507))/COUNT(ABC!$B$8:$B$507))</f>
        <v/>
      </c>
      <c r="C492" s="13">
        <f>IF(COUNT(ABC!$B$8:$B$507)=0,0,SUMIF(ABC!$D$8:$D$507,"&lt;="&amp;MIN(A492,COUNT(ABC!$B$8:$B$507)),ABC!$B$8:$B$507)/SUM(ABC!$B$8:$B$507))</f>
        <v/>
      </c>
    </row>
    <row r="493">
      <c r="A493" t="n">
        <v>490</v>
      </c>
      <c r="B493" s="13">
        <f>IF(COUNT(ABC!$B$8:$B$507)=0,0,MIN(A493,COUNT(ABC!$B$8:$B$507))/COUNT(ABC!$B$8:$B$507))</f>
        <v/>
      </c>
      <c r="C493" s="13">
        <f>IF(COUNT(ABC!$B$8:$B$507)=0,0,SUMIF(ABC!$D$8:$D$507,"&lt;="&amp;MIN(A493,COUNT(ABC!$B$8:$B$507)),ABC!$B$8:$B$507)/SUM(ABC!$B$8:$B$507))</f>
        <v/>
      </c>
    </row>
    <row r="494">
      <c r="A494" t="n">
        <v>491</v>
      </c>
      <c r="B494" s="13">
        <f>IF(COUNT(ABC!$B$8:$B$507)=0,0,MIN(A494,COUNT(ABC!$B$8:$B$507))/COUNT(ABC!$B$8:$B$507))</f>
        <v/>
      </c>
      <c r="C494" s="13">
        <f>IF(COUNT(ABC!$B$8:$B$507)=0,0,SUMIF(ABC!$D$8:$D$507,"&lt;="&amp;MIN(A494,COUNT(ABC!$B$8:$B$507)),ABC!$B$8:$B$507)/SUM(ABC!$B$8:$B$507))</f>
        <v/>
      </c>
    </row>
    <row r="495">
      <c r="A495" t="n">
        <v>492</v>
      </c>
      <c r="B495" s="13">
        <f>IF(COUNT(ABC!$B$8:$B$507)=0,0,MIN(A495,COUNT(ABC!$B$8:$B$507))/COUNT(ABC!$B$8:$B$507))</f>
        <v/>
      </c>
      <c r="C495" s="13">
        <f>IF(COUNT(ABC!$B$8:$B$507)=0,0,SUMIF(ABC!$D$8:$D$507,"&lt;="&amp;MIN(A495,COUNT(ABC!$B$8:$B$507)),ABC!$B$8:$B$507)/SUM(ABC!$B$8:$B$507))</f>
        <v/>
      </c>
    </row>
    <row r="496">
      <c r="A496" t="n">
        <v>493</v>
      </c>
      <c r="B496" s="13">
        <f>IF(COUNT(ABC!$B$8:$B$507)=0,0,MIN(A496,COUNT(ABC!$B$8:$B$507))/COUNT(ABC!$B$8:$B$507))</f>
        <v/>
      </c>
      <c r="C496" s="13">
        <f>IF(COUNT(ABC!$B$8:$B$507)=0,0,SUMIF(ABC!$D$8:$D$507,"&lt;="&amp;MIN(A496,COUNT(ABC!$B$8:$B$507)),ABC!$B$8:$B$507)/SUM(ABC!$B$8:$B$507))</f>
        <v/>
      </c>
    </row>
    <row r="497">
      <c r="A497" t="n">
        <v>494</v>
      </c>
      <c r="B497" s="13">
        <f>IF(COUNT(ABC!$B$8:$B$507)=0,0,MIN(A497,COUNT(ABC!$B$8:$B$507))/COUNT(ABC!$B$8:$B$507))</f>
        <v/>
      </c>
      <c r="C497" s="13">
        <f>IF(COUNT(ABC!$B$8:$B$507)=0,0,SUMIF(ABC!$D$8:$D$507,"&lt;="&amp;MIN(A497,COUNT(ABC!$B$8:$B$507)),ABC!$B$8:$B$507)/SUM(ABC!$B$8:$B$507))</f>
        <v/>
      </c>
    </row>
    <row r="498">
      <c r="A498" t="n">
        <v>495</v>
      </c>
      <c r="B498" s="13">
        <f>IF(COUNT(ABC!$B$8:$B$507)=0,0,MIN(A498,COUNT(ABC!$B$8:$B$507))/COUNT(ABC!$B$8:$B$507))</f>
        <v/>
      </c>
      <c r="C498" s="13">
        <f>IF(COUNT(ABC!$B$8:$B$507)=0,0,SUMIF(ABC!$D$8:$D$507,"&lt;="&amp;MIN(A498,COUNT(ABC!$B$8:$B$507)),ABC!$B$8:$B$507)/SUM(ABC!$B$8:$B$507))</f>
        <v/>
      </c>
    </row>
    <row r="499">
      <c r="A499" t="n">
        <v>496</v>
      </c>
      <c r="B499" s="13">
        <f>IF(COUNT(ABC!$B$8:$B$507)=0,0,MIN(A499,COUNT(ABC!$B$8:$B$507))/COUNT(ABC!$B$8:$B$507))</f>
        <v/>
      </c>
      <c r="C499" s="13">
        <f>IF(COUNT(ABC!$B$8:$B$507)=0,0,SUMIF(ABC!$D$8:$D$507,"&lt;="&amp;MIN(A499,COUNT(ABC!$B$8:$B$507)),ABC!$B$8:$B$507)/SUM(ABC!$B$8:$B$507))</f>
        <v/>
      </c>
    </row>
    <row r="500">
      <c r="A500" t="n">
        <v>497</v>
      </c>
      <c r="B500" s="13">
        <f>IF(COUNT(ABC!$B$8:$B$507)=0,0,MIN(A500,COUNT(ABC!$B$8:$B$507))/COUNT(ABC!$B$8:$B$507))</f>
        <v/>
      </c>
      <c r="C500" s="13">
        <f>IF(COUNT(ABC!$B$8:$B$507)=0,0,SUMIF(ABC!$D$8:$D$507,"&lt;="&amp;MIN(A500,COUNT(ABC!$B$8:$B$507)),ABC!$B$8:$B$507)/SUM(ABC!$B$8:$B$507))</f>
        <v/>
      </c>
    </row>
    <row r="501">
      <c r="A501" t="n">
        <v>498</v>
      </c>
      <c r="B501" s="13">
        <f>IF(COUNT(ABC!$B$8:$B$507)=0,0,MIN(A501,COUNT(ABC!$B$8:$B$507))/COUNT(ABC!$B$8:$B$507))</f>
        <v/>
      </c>
      <c r="C501" s="13">
        <f>IF(COUNT(ABC!$B$8:$B$507)=0,0,SUMIF(ABC!$D$8:$D$507,"&lt;="&amp;MIN(A501,COUNT(ABC!$B$8:$B$507)),ABC!$B$8:$B$507)/SUM(ABC!$B$8:$B$507))</f>
        <v/>
      </c>
    </row>
    <row r="502">
      <c r="A502" t="n">
        <v>499</v>
      </c>
      <c r="B502" s="13">
        <f>IF(COUNT(ABC!$B$8:$B$507)=0,0,MIN(A502,COUNT(ABC!$B$8:$B$507))/COUNT(ABC!$B$8:$B$507))</f>
        <v/>
      </c>
      <c r="C502" s="13">
        <f>IF(COUNT(ABC!$B$8:$B$507)=0,0,SUMIF(ABC!$D$8:$D$507,"&lt;="&amp;MIN(A502,COUNT(ABC!$B$8:$B$507)),ABC!$B$8:$B$507)/SUM(ABC!$B$8:$B$507))</f>
        <v/>
      </c>
    </row>
    <row r="503">
      <c r="A503" t="n">
        <v>500</v>
      </c>
      <c r="B503" s="13">
        <f>IF(COUNT(ABC!$B$8:$B$507)=0,0,MIN(A503,COUNT(ABC!$B$8:$B$507))/COUNT(ABC!$B$8:$B$507))</f>
        <v/>
      </c>
      <c r="C503" s="13">
        <f>IF(COUNT(ABC!$B$8:$B$507)=0,0,SUMIF(ABC!$D$8:$D$507,"&lt;="&amp;MIN(A503,COUNT(ABC!$B$8:$B$507)),ABC!$B$8:$B$507)/SUM(ABC!$B$8:$B$507))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2026-10-22T07:09:35Z</dcterms:created>
  <dcterms:modified xmlns:dcterms="http://purl.org/dc/terms/" xmlns:xsi="http://www.w3.org/2001/XMLSchema-instance" xsi:type="dcterms:W3CDTF">2026-10-22T07:09:35Z</dcterms:modified>
</cp:coreProperties>
</file>