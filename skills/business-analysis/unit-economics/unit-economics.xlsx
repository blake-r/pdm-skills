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>
    <definedName name="data_start">'Unit Economics'!$A$7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E8F0FC"/>
      </patternFill>
    </fill>
    <fill>
      <patternFill patternType="solid">
        <fgColor rgb="00F3F4F6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3" fillId="2" borderId="0" pivotButton="0" quotePrefix="0" xfId="0"/>
    <xf numFmtId="0" fontId="0" fillId="2" borderId="0" pivotButton="0" quotePrefix="0" xfId="0"/>
    <xf numFmtId="4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4" fontId="4" fillId="3" borderId="0" applyAlignment="1" pivotButton="0" quotePrefix="0" xfId="0">
      <alignment vertical="top" wrapText="1"/>
    </xf>
    <xf numFmtId="164" fontId="4" fillId="3" borderId="0" applyAlignment="1" pivotButton="0" quotePrefix="0" xfId="0">
      <alignment vertical="top" wrapText="1"/>
    </xf>
    <xf numFmtId="2" fontId="4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0" borderId="0" pivotButton="0" quotePrefix="0" xfId="0"/>
    <xf numFmtId="164" fontId="3" fillId="4" borderId="0" applyAlignment="1" pivotButton="0" quotePrefix="0" xfId="0">
      <alignment vertical="top" wrapText="1"/>
    </xf>
    <xf numFmtId="1" fontId="3" fillId="4" borderId="0" applyAlignment="1" pivotButton="0" quotePrefix="0" xfId="0">
      <alignment vertical="top" wrapText="1"/>
    </xf>
    <xf numFmtId="1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pdm-skills</author>
  </authors>
  <commentList>
    <comment ref="A6" authorId="0" shapeId="0">
      <text>
        <t>What is being compared: a channel, a customer cohort, a period, a price or terms variant. One row is one scenario. Do not average channels: an average CAC hides the unprofitable ones.</t>
      </text>
    </comment>
    <comment ref="B6" authorId="0" shapeId="0">
      <text>
        <t>All spending to acquire customers in this scenario: advertising, salaries and tools of marketing and sales. The ad budget alone understates CAC. In roubles or another currency, the same for the whole table.</t>
      </text>
    </comment>
    <comment ref="C6" authorId="0" shapeId="0">
      <text>
        <t>How many customers were acquired in the same period. Count those who made a first purchase, not visitors.</t>
      </text>
    </comment>
    <comment ref="D6" authorId="0" shapeId="0">
      <text>
        <t>Average revenue per customer per period (ARPA, average revenue per account). If there is no lifetime period, use revenue for the observation window. Without VAT and after refunds.</t>
      </text>
    </comment>
    <comment ref="E6" authorId="0" shapeId="0">
      <text>
        <t>The share of revenue left after the unit's variable costs: cost of goods, delivery, payment fees, support, refunds. Enter a share of one or a percentage: 0.2 or 20%.</t>
      </text>
    </comment>
    <comment ref="F6" authorId="0" shapeId="0">
      <text>
        <t>The share of customers lost in the period. Empty if there is no churn data: then lifetime is taken from the "Horizon" column. The churn period must match the revenue period (month with month).</t>
      </text>
    </comment>
    <comment ref="G6" authorId="0" shapeId="0">
      <text>
        <t>How many periods a customer is counted for if churn is unknown. Enter 1 if the revenue already covers the whole observation window. The horizon is your assumption, not a measurement: write where it comes from.</t>
      </text>
    </comment>
    <comment ref="H6" authorId="0" shapeId="0">
      <text>
        <t>Where the numbers come from: a report, an export, a source page with a date. Mark here what is an estimate rather than a fact.</t>
      </text>
    </comment>
    <comment ref="I6" authorId="0" shapeId="0">
      <text>
        <t>Customer acquisition cost: acquisition spend ÷ new customers. A formula, not entered by hand.</t>
      </text>
    </comment>
    <comment ref="J6" authorId="0" shapeId="0">
      <text>
        <t>Revenue per customer × contribution margin. How much one customer leaves after variable costs in a period.</t>
      </text>
    </comment>
    <comment ref="K6" authorId="0" shapeId="0">
      <text>
        <t>1 ÷ churn if it is above 0; otherwise the value from "Horizon". This is how David Skok calculates lifetime; constant churn is an assumption.</t>
      </text>
    </comment>
    <comment ref="L6" authorId="0" shapeId="0">
      <text>
        <t>Contribution per period × lifetime. Margin version: revenue × margin ÷ churn. This is customer value by contribution, not by revenue.</t>
      </text>
    </comment>
    <comment ref="M6" authorId="0" shapeId="0">
      <text>
        <t>LTV ÷ CAC. Skok's benchmark for SaaS is above 3 (in his version, without margin and at a margin of 80% or more). Set the threshold yourself, it is in the cell on the right.</t>
      </text>
    </comment>
    <comment ref="N6" authorId="0" shapeId="0">
      <text>
        <t>CAC ÷ contribution per period: how many periods it takes a customer to repay the acquisition cost. Skok's benchmark for SaaS is 12 months or less, up to 20 for healthy models.</t>
      </text>
    </comment>
    <comment ref="O6" authorId="0" shapeId="0">
      <text>
        <t>A label based on the thresholds on the right; without thresholds, only "does not pay back" or "pays back". A signal to look closer, not a decision: the decision goes in the "Decision" row.</t>
      </text>
    </comment>
    <comment ref="Q7" authorId="0" shapeId="0">
      <text>
        <t>Empty until you set a threshold. Set it before looking at the results: it depends on the industry, margin and risks. Skok's benchmark for SaaS is above 3.</t>
      </text>
    </comment>
    <comment ref="Q8" authorId="0" shapeId="0">
      <text>
        <t>Empty until you set a threshold. The period is the same as in the table. Skok's benchmark for SaaS is up to 12 months, up to 20 for healthy models.</t>
      </text>
    </comment>
    <comment ref="Q9" authorId="0" shapeId="0">
      <text>
        <t>How many rows produced an LTV/CAC number.</t>
      </text>
    </comment>
    <comment ref="Q10" authorId="0" shapeId="0">
      <text>
        <t>Scenarios with missing data. Should be 0, otherwise no conclusion can be drawn about them.</t>
      </text>
    </comment>
    <comment ref="Q11" authorId="0" shapeId="0">
      <text>
        <t>How many scenarios reached the LTV/CAC threshold.</t>
      </text>
    </comment>
    <comment ref="Q12" authorId="0" shapeId="0">
      <text>
        <t>How many scenarios repaid the acquisition cost within the payback threshold or faster.</t>
      </text>
    </comment>
    <comment ref="Q13" authorId="0" shapeId="0">
      <text>
        <t>The scenario with the highest LTV/CAC. The best by ratio is not always the best by amount: look at total contribution too.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30" customWidth="1" min="8" max="8"/>
    <col width="11" customWidth="1" min="9" max="9"/>
    <col width="12" customWidth="1" min="10" max="10"/>
    <col width="12" customWidth="1" min="11" max="11"/>
    <col width="15" customWidth="1" min="12" max="12"/>
    <col width="11" customWidth="1" min="13" max="13"/>
    <col width="13" customWidth="1" min="14" max="14"/>
    <col width="24" customWidth="1" min="15" max="15"/>
    <col width="3" customWidth="1" min="16" max="16"/>
    <col width="38" customWidth="1" min="17" max="17"/>
    <col width="14" customWidth="1" min="18" max="18"/>
  </cols>
  <sheetData>
    <row r="1">
      <c r="A1" s="1" t="inlineStr">
        <is>
          <t>Unit Economics: {{title: business, what is being calculated, date}}</t>
        </is>
      </c>
    </row>
    <row r="2" ht="32" customHeight="1">
      <c r="A2" s="2" t="inlineStr">
        <is>
          <t>Unit:</t>
        </is>
      </c>
      <c r="C2" s="3" t="inlineStr">
        <is>
          <t>{{unit: unit of analysis: customer, order or item}}</t>
        </is>
      </c>
    </row>
    <row r="3" ht="32" customHeight="1">
      <c r="A3" s="2" t="inlineStr">
        <is>
          <t>Period:</t>
        </is>
      </c>
      <c r="C3" s="4" t="inlineStr">
        <is>
          <t>{{period: period length and data source}}</t>
        </is>
      </c>
    </row>
    <row r="4" ht="46" customHeight="1">
      <c r="A4" s="2" t="inlineStr">
        <is>
          <t>Decision:</t>
        </is>
      </c>
      <c r="C4" s="4" t="inlineStr">
        <is>
          <t>{{decision: decision taken and how we check it}}</t>
        </is>
      </c>
    </row>
    <row r="6" ht="48" customHeight="1">
      <c r="A6" s="5" t="inlineStr">
        <is>
          <t>Scenario</t>
        </is>
      </c>
      <c r="B6" s="5" t="inlineStr">
        <is>
          <t>Acquisition spend per period</t>
        </is>
      </c>
      <c r="C6" s="5" t="inlineStr">
        <is>
          <t>New customers</t>
        </is>
      </c>
      <c r="D6" s="5" t="inlineStr">
        <is>
          <t>Revenue per customer per period</t>
        </is>
      </c>
      <c r="E6" s="5" t="inlineStr">
        <is>
          <t>Contribution margin, %</t>
        </is>
      </c>
      <c r="F6" s="5" t="inlineStr">
        <is>
          <t>Churn per period, %</t>
        </is>
      </c>
      <c r="G6" s="5" t="inlineStr">
        <is>
          <t>Horizon, periods</t>
        </is>
      </c>
      <c r="H6" s="5" t="inlineStr">
        <is>
          <t>Basis</t>
        </is>
      </c>
      <c r="I6" s="5" t="inlineStr">
        <is>
          <t>CAC</t>
        </is>
      </c>
      <c r="J6" s="5" t="inlineStr">
        <is>
          <t>Contribution per period</t>
        </is>
      </c>
      <c r="K6" s="5" t="inlineStr">
        <is>
          <t>Lifetime, periods</t>
        </is>
      </c>
      <c r="L6" s="5" t="inlineStr">
        <is>
          <t>LTV</t>
        </is>
      </c>
      <c r="M6" s="5" t="inlineStr">
        <is>
          <t>LTV/CAC</t>
        </is>
      </c>
      <c r="N6" s="5" t="inlineStr">
        <is>
          <t>CAC payback, periods</t>
        </is>
      </c>
      <c r="O6" s="5" t="inlineStr">
        <is>
          <t>Verdict</t>
        </is>
      </c>
      <c r="Q6" s="6" t="inlineStr">
        <is>
          <t>Thresholds and totals</t>
        </is>
      </c>
      <c r="R6" s="7" t="n"/>
    </row>
    <row r="7">
      <c r="A7" s="4" t="n"/>
      <c r="B7" s="8" t="n"/>
      <c r="C7" s="9" t="n"/>
      <c r="D7" s="8" t="n"/>
      <c r="E7" s="10" t="n"/>
      <c r="F7" s="10" t="n"/>
      <c r="G7" s="4" t="n"/>
      <c r="H7" s="4" t="n"/>
      <c r="I7" s="11">
        <f>IF(AND(ISNUMBER(B7),ISNUMBER(C7)),IF(C7&gt;0,B7/C7,""),"")</f>
        <v/>
      </c>
      <c r="J7" s="11">
        <f>IF(AND(ISNUMBER(D7),ISNUMBER(E7)),D7*E7,"")</f>
        <v/>
      </c>
      <c r="K7" s="12">
        <f>IF(AND(ISNUMBER(F7),F7&gt;0),1/F7,IF(ISNUMBER(G7),G7,""))</f>
        <v/>
      </c>
      <c r="L7" s="11">
        <f>IF(AND(ISNUMBER(J7),ISNUMBER(K7)),J7*K7,"")</f>
        <v/>
      </c>
      <c r="M7" s="13">
        <f>IF(AND(ISNUMBER(L7),ISNUMBER(I7)),IF(I7&gt;0,L7/I7,""),"")</f>
        <v/>
      </c>
      <c r="N7" s="13">
        <f>IF(AND(ISNUMBER(I7),ISNUMBER(J7)),IF(J7&gt;0,I7/J7,""),"")</f>
        <v/>
      </c>
      <c r="O7" s="14">
        <f>IF(A7="","",IF(NOT(ISNUMBER(M7)),"no data",IF(M7&lt;1,"does not pay back",IF(ISNUMBER($R$7),IF(M7&gt;=$R$7,"LTV/CAC above threshold","LTV/CAC below threshold"),"pays back, LTV/CAC threshold not set")&amp;IF(AND(ISNUMBER($R$8),ISNUMBER(N7)),IF(N7&lt;=$R$8,"; payback within threshold","; payback longer than threshold"),""))))</f>
        <v/>
      </c>
      <c r="Q7" s="15" t="inlineStr">
        <is>
          <t>LTV/CAC threshold</t>
        </is>
      </c>
      <c r="R7" s="16" t="n"/>
    </row>
    <row r="8">
      <c r="A8" s="4" t="n"/>
      <c r="B8" s="8" t="n"/>
      <c r="C8" s="9" t="n"/>
      <c r="D8" s="8" t="n"/>
      <c r="E8" s="10" t="n"/>
      <c r="F8" s="10" t="n"/>
      <c r="G8" s="4" t="n"/>
      <c r="H8" s="4" t="n"/>
      <c r="I8" s="11">
        <f>IF(AND(ISNUMBER(B8),ISNUMBER(C8)),IF(C8&gt;0,B8/C8,""),"")</f>
        <v/>
      </c>
      <c r="J8" s="11">
        <f>IF(AND(ISNUMBER(D8),ISNUMBER(E8)),D8*E8,"")</f>
        <v/>
      </c>
      <c r="K8" s="12">
        <f>IF(AND(ISNUMBER(F8),F8&gt;0),1/F8,IF(ISNUMBER(G8),G8,""))</f>
        <v/>
      </c>
      <c r="L8" s="11">
        <f>IF(AND(ISNUMBER(J8),ISNUMBER(K8)),J8*K8,"")</f>
        <v/>
      </c>
      <c r="M8" s="13">
        <f>IF(AND(ISNUMBER(L8),ISNUMBER(I8)),IF(I8&gt;0,L8/I8,""),"")</f>
        <v/>
      </c>
      <c r="N8" s="13">
        <f>IF(AND(ISNUMBER(I8),ISNUMBER(J8)),IF(J8&gt;0,I8/J8,""),"")</f>
        <v/>
      </c>
      <c r="O8" s="14">
        <f>IF(A8="","",IF(NOT(ISNUMBER(M8)),"no data",IF(M8&lt;1,"does not pay back",IF(ISNUMBER($R$7),IF(M8&gt;=$R$7,"LTV/CAC above threshold","LTV/CAC below threshold"),"pays back, LTV/CAC threshold not set")&amp;IF(AND(ISNUMBER($R$8),ISNUMBER(N8)),IF(N8&lt;=$R$8,"; payback within threshold","; payback longer than threshold"),""))))</f>
        <v/>
      </c>
      <c r="Q8" s="15" t="inlineStr">
        <is>
          <t>Payback threshold, periods</t>
        </is>
      </c>
      <c r="R8" s="17" t="n"/>
    </row>
    <row r="9">
      <c r="A9" s="4" t="n"/>
      <c r="B9" s="8" t="n"/>
      <c r="C9" s="9" t="n"/>
      <c r="D9" s="8" t="n"/>
      <c r="E9" s="10" t="n"/>
      <c r="F9" s="10" t="n"/>
      <c r="G9" s="4" t="n"/>
      <c r="H9" s="4" t="n"/>
      <c r="I9" s="11">
        <f>IF(AND(ISNUMBER(B9),ISNUMBER(C9)),IF(C9&gt;0,B9/C9,""),"")</f>
        <v/>
      </c>
      <c r="J9" s="11">
        <f>IF(AND(ISNUMBER(D9),ISNUMBER(E9)),D9*E9,"")</f>
        <v/>
      </c>
      <c r="K9" s="12">
        <f>IF(AND(ISNUMBER(F9),F9&gt;0),1/F9,IF(ISNUMBER(G9),G9,""))</f>
        <v/>
      </c>
      <c r="L9" s="11">
        <f>IF(AND(ISNUMBER(J9),ISNUMBER(K9)),J9*K9,"")</f>
        <v/>
      </c>
      <c r="M9" s="13">
        <f>IF(AND(ISNUMBER(L9),ISNUMBER(I9)),IF(I9&gt;0,L9/I9,""),"")</f>
        <v/>
      </c>
      <c r="N9" s="13">
        <f>IF(AND(ISNUMBER(I9),ISNUMBER(J9)),IF(J9&gt;0,I9/J9,""),"")</f>
        <v/>
      </c>
      <c r="O9" s="14">
        <f>IF(A9="","",IF(NOT(ISNUMBER(M9)),"no data",IF(M9&lt;1,"does not pay back",IF(ISNUMBER($R$7),IF(M9&gt;=$R$7,"LTV/CAC above threshold","LTV/CAC below threshold"),"pays back, LTV/CAC threshold not set")&amp;IF(AND(ISNUMBER($R$8),ISNUMBER(N9)),IF(N9&lt;=$R$8,"; payback within threshold","; payback longer than threshold"),""))))</f>
        <v/>
      </c>
      <c r="Q9" s="15" t="inlineStr">
        <is>
          <t>Scenarios with a result</t>
        </is>
      </c>
      <c r="R9" s="18">
        <f>SUMPRODUCT(--ISNUMBER($M$7:$M$36))</f>
        <v/>
      </c>
    </row>
    <row r="10">
      <c r="A10" s="4" t="n"/>
      <c r="B10" s="8" t="n"/>
      <c r="C10" s="9" t="n"/>
      <c r="D10" s="8" t="n"/>
      <c r="E10" s="10" t="n"/>
      <c r="F10" s="10" t="n"/>
      <c r="G10" s="4" t="n"/>
      <c r="H10" s="4" t="n"/>
      <c r="I10" s="11">
        <f>IF(AND(ISNUMBER(B10),ISNUMBER(C10)),IF(C10&gt;0,B10/C10,""),"")</f>
        <v/>
      </c>
      <c r="J10" s="11">
        <f>IF(AND(ISNUMBER(D10),ISNUMBER(E10)),D10*E10,"")</f>
        <v/>
      </c>
      <c r="K10" s="12">
        <f>IF(AND(ISNUMBER(F10),F10&gt;0),1/F10,IF(ISNUMBER(G10),G10,""))</f>
        <v/>
      </c>
      <c r="L10" s="11">
        <f>IF(AND(ISNUMBER(J10),ISNUMBER(K10)),J10*K10,"")</f>
        <v/>
      </c>
      <c r="M10" s="13">
        <f>IF(AND(ISNUMBER(L10),ISNUMBER(I10)),IF(I10&gt;0,L10/I10,""),"")</f>
        <v/>
      </c>
      <c r="N10" s="13">
        <f>IF(AND(ISNUMBER(I10),ISNUMBER(J10)),IF(J10&gt;0,I10/J10,""),"")</f>
        <v/>
      </c>
      <c r="O10" s="14">
        <f>IF(A10="","",IF(NOT(ISNUMBER(M10)),"no data",IF(M10&lt;1,"does not pay back",IF(ISNUMBER($R$7),IF(M10&gt;=$R$7,"LTV/CAC above threshold","LTV/CAC below threshold"),"pays back, LTV/CAC threshold not set")&amp;IF(AND(ISNUMBER($R$8),ISNUMBER(N10)),IF(N10&lt;=$R$8,"; payback within threshold","; payback longer than threshold"),""))))</f>
        <v/>
      </c>
      <c r="Q10" s="15" t="inlineStr">
        <is>
          <t>Rows without a result</t>
        </is>
      </c>
      <c r="R10" s="18">
        <f>SUMPRODUCT(($A$7:$A$36&lt;&gt;"")*(1-ISNUMBER($M$7:$M$36)))</f>
        <v/>
      </c>
    </row>
    <row r="11">
      <c r="A11" s="4" t="n"/>
      <c r="B11" s="8" t="n"/>
      <c r="C11" s="9" t="n"/>
      <c r="D11" s="8" t="n"/>
      <c r="E11" s="10" t="n"/>
      <c r="F11" s="10" t="n"/>
      <c r="G11" s="4" t="n"/>
      <c r="H11" s="4" t="n"/>
      <c r="I11" s="11">
        <f>IF(AND(ISNUMBER(B11),ISNUMBER(C11)),IF(C11&gt;0,B11/C11,""),"")</f>
        <v/>
      </c>
      <c r="J11" s="11">
        <f>IF(AND(ISNUMBER(D11),ISNUMBER(E11)),D11*E11,"")</f>
        <v/>
      </c>
      <c r="K11" s="12">
        <f>IF(AND(ISNUMBER(F11),F11&gt;0),1/F11,IF(ISNUMBER(G11),G11,""))</f>
        <v/>
      </c>
      <c r="L11" s="11">
        <f>IF(AND(ISNUMBER(J11),ISNUMBER(K11)),J11*K11,"")</f>
        <v/>
      </c>
      <c r="M11" s="13">
        <f>IF(AND(ISNUMBER(L11),ISNUMBER(I11)),IF(I11&gt;0,L11/I11,""),"")</f>
        <v/>
      </c>
      <c r="N11" s="13">
        <f>IF(AND(ISNUMBER(I11),ISNUMBER(J11)),IF(J11&gt;0,I11/J11,""),"")</f>
        <v/>
      </c>
      <c r="O11" s="14">
        <f>IF(A11="","",IF(NOT(ISNUMBER(M11)),"no data",IF(M11&lt;1,"does not pay back",IF(ISNUMBER($R$7),IF(M11&gt;=$R$7,"LTV/CAC above threshold","LTV/CAC below threshold"),"pays back, LTV/CAC threshold not set")&amp;IF(AND(ISNUMBER($R$8),ISNUMBER(N11)),IF(N11&lt;=$R$8,"; payback within threshold","; payback longer than threshold"),""))))</f>
        <v/>
      </c>
      <c r="Q11" s="15" t="inlineStr">
        <is>
          <t>Above LTV/CAC threshold</t>
        </is>
      </c>
      <c r="R11" s="18">
        <f>IF(ISNUMBER($R$7),SUMPRODUCT(ISNUMBER($M$7:$M$36)*($M$7:$M$36&gt;=$R$7)),"")</f>
        <v/>
      </c>
    </row>
    <row r="12">
      <c r="A12" s="4" t="n"/>
      <c r="B12" s="8" t="n"/>
      <c r="C12" s="9" t="n"/>
      <c r="D12" s="8" t="n"/>
      <c r="E12" s="10" t="n"/>
      <c r="F12" s="10" t="n"/>
      <c r="G12" s="4" t="n"/>
      <c r="H12" s="4" t="n"/>
      <c r="I12" s="11">
        <f>IF(AND(ISNUMBER(B12),ISNUMBER(C12)),IF(C12&gt;0,B12/C12,""),"")</f>
        <v/>
      </c>
      <c r="J12" s="11">
        <f>IF(AND(ISNUMBER(D12),ISNUMBER(E12)),D12*E12,"")</f>
        <v/>
      </c>
      <c r="K12" s="12">
        <f>IF(AND(ISNUMBER(F12),F12&gt;0),1/F12,IF(ISNUMBER(G12),G12,""))</f>
        <v/>
      </c>
      <c r="L12" s="11">
        <f>IF(AND(ISNUMBER(J12),ISNUMBER(K12)),J12*K12,"")</f>
        <v/>
      </c>
      <c r="M12" s="13">
        <f>IF(AND(ISNUMBER(L12),ISNUMBER(I12)),IF(I12&gt;0,L12/I12,""),"")</f>
        <v/>
      </c>
      <c r="N12" s="13">
        <f>IF(AND(ISNUMBER(I12),ISNUMBER(J12)),IF(J12&gt;0,I12/J12,""),"")</f>
        <v/>
      </c>
      <c r="O12" s="14">
        <f>IF(A12="","",IF(NOT(ISNUMBER(M12)),"no data",IF(M12&lt;1,"does not pay back",IF(ISNUMBER($R$7),IF(M12&gt;=$R$7,"LTV/CAC above threshold","LTV/CAC below threshold"),"pays back, LTV/CAC threshold not set")&amp;IF(AND(ISNUMBER($R$8),ISNUMBER(N12)),IF(N12&lt;=$R$8,"; payback within threshold","; payback longer than threshold"),""))))</f>
        <v/>
      </c>
      <c r="Q12" s="15" t="inlineStr">
        <is>
          <t>Pay back within the threshold</t>
        </is>
      </c>
      <c r="R12" s="18">
        <f>IF(ISNUMBER($R$8),SUMPRODUCT(ISNUMBER($N$7:$N$36)*($N$7:$N$36&lt;=$R$8)),"")</f>
        <v/>
      </c>
    </row>
    <row r="13">
      <c r="A13" s="4" t="n"/>
      <c r="B13" s="8" t="n"/>
      <c r="C13" s="9" t="n"/>
      <c r="D13" s="8" t="n"/>
      <c r="E13" s="10" t="n"/>
      <c r="F13" s="10" t="n"/>
      <c r="G13" s="4" t="n"/>
      <c r="H13" s="4" t="n"/>
      <c r="I13" s="11">
        <f>IF(AND(ISNUMBER(B13),ISNUMBER(C13)),IF(C13&gt;0,B13/C13,""),"")</f>
        <v/>
      </c>
      <c r="J13" s="11">
        <f>IF(AND(ISNUMBER(D13),ISNUMBER(E13)),D13*E13,"")</f>
        <v/>
      </c>
      <c r="K13" s="12">
        <f>IF(AND(ISNUMBER(F13),F13&gt;0),1/F13,IF(ISNUMBER(G13),G13,""))</f>
        <v/>
      </c>
      <c r="L13" s="11">
        <f>IF(AND(ISNUMBER(J13),ISNUMBER(K13)),J13*K13,"")</f>
        <v/>
      </c>
      <c r="M13" s="13">
        <f>IF(AND(ISNUMBER(L13),ISNUMBER(I13)),IF(I13&gt;0,L13/I13,""),"")</f>
        <v/>
      </c>
      <c r="N13" s="13">
        <f>IF(AND(ISNUMBER(I13),ISNUMBER(J13)),IF(J13&gt;0,I13/J13,""),"")</f>
        <v/>
      </c>
      <c r="O13" s="14">
        <f>IF(A13="","",IF(NOT(ISNUMBER(M13)),"no data",IF(M13&lt;1,"does not pay back",IF(ISNUMBER($R$7),IF(M13&gt;=$R$7,"LTV/CAC above threshold","LTV/CAC below threshold"),"pays back, LTV/CAC threshold not set")&amp;IF(AND(ISNUMBER($R$8),ISNUMBER(N13)),IF(N13&lt;=$R$8,"; payback within threshold","; payback longer than threshold"),""))))</f>
        <v/>
      </c>
      <c r="Q13" s="15" t="inlineStr">
        <is>
          <t>Best by LTV/CAC</t>
        </is>
      </c>
      <c r="R13" s="19">
        <f>IF(R9=0,"",INDEX($A$7:$A$36,MATCH(MAX($M$7:$M$36),$M$7:$M$36,0)))</f>
        <v/>
      </c>
    </row>
    <row r="14">
      <c r="A14" s="4" t="n"/>
      <c r="B14" s="8" t="n"/>
      <c r="C14" s="9" t="n"/>
      <c r="D14" s="8" t="n"/>
      <c r="E14" s="10" t="n"/>
      <c r="F14" s="10" t="n"/>
      <c r="G14" s="4" t="n"/>
      <c r="H14" s="4" t="n"/>
      <c r="I14" s="11">
        <f>IF(AND(ISNUMBER(B14),ISNUMBER(C14)),IF(C14&gt;0,B14/C14,""),"")</f>
        <v/>
      </c>
      <c r="J14" s="11">
        <f>IF(AND(ISNUMBER(D14),ISNUMBER(E14)),D14*E14,"")</f>
        <v/>
      </c>
      <c r="K14" s="12">
        <f>IF(AND(ISNUMBER(F14),F14&gt;0),1/F14,IF(ISNUMBER(G14),G14,""))</f>
        <v/>
      </c>
      <c r="L14" s="11">
        <f>IF(AND(ISNUMBER(J14),ISNUMBER(K14)),J14*K14,"")</f>
        <v/>
      </c>
      <c r="M14" s="13">
        <f>IF(AND(ISNUMBER(L14),ISNUMBER(I14)),IF(I14&gt;0,L14/I14,""),"")</f>
        <v/>
      </c>
      <c r="N14" s="13">
        <f>IF(AND(ISNUMBER(I14),ISNUMBER(J14)),IF(J14&gt;0,I14/J14,""),"")</f>
        <v/>
      </c>
      <c r="O14" s="14">
        <f>IF(A14="","",IF(NOT(ISNUMBER(M14)),"no data",IF(M14&lt;1,"does not pay back",IF(ISNUMBER($R$7),IF(M14&gt;=$R$7,"LTV/CAC above threshold","LTV/CAC below threshold"),"pays back, LTV/CAC threshold not set")&amp;IF(AND(ISNUMBER($R$8),ISNUMBER(N14)),IF(N14&lt;=$R$8,"; payback within threshold","; payback longer than threshold"),""))))</f>
        <v/>
      </c>
    </row>
    <row r="15">
      <c r="A15" s="4" t="n"/>
      <c r="B15" s="8" t="n"/>
      <c r="C15" s="9" t="n"/>
      <c r="D15" s="8" t="n"/>
      <c r="E15" s="10" t="n"/>
      <c r="F15" s="10" t="n"/>
      <c r="G15" s="4" t="n"/>
      <c r="H15" s="4" t="n"/>
      <c r="I15" s="11">
        <f>IF(AND(ISNUMBER(B15),ISNUMBER(C15)),IF(C15&gt;0,B15/C15,""),"")</f>
        <v/>
      </c>
      <c r="J15" s="11">
        <f>IF(AND(ISNUMBER(D15),ISNUMBER(E15)),D15*E15,"")</f>
        <v/>
      </c>
      <c r="K15" s="12">
        <f>IF(AND(ISNUMBER(F15),F15&gt;0),1/F15,IF(ISNUMBER(G15),G15,""))</f>
        <v/>
      </c>
      <c r="L15" s="11">
        <f>IF(AND(ISNUMBER(J15),ISNUMBER(K15)),J15*K15,"")</f>
        <v/>
      </c>
      <c r="M15" s="13">
        <f>IF(AND(ISNUMBER(L15),ISNUMBER(I15)),IF(I15&gt;0,L15/I15,""),"")</f>
        <v/>
      </c>
      <c r="N15" s="13">
        <f>IF(AND(ISNUMBER(I15),ISNUMBER(J15)),IF(J15&gt;0,I15/J15,""),"")</f>
        <v/>
      </c>
      <c r="O15" s="14">
        <f>IF(A15="","",IF(NOT(ISNUMBER(M15)),"no data",IF(M15&lt;1,"does not pay back",IF(ISNUMBER($R$7),IF(M15&gt;=$R$7,"LTV/CAC above threshold","LTV/CAC below threshold"),"pays back, LTV/CAC threshold not set")&amp;IF(AND(ISNUMBER($R$8),ISNUMBER(N15)),IF(N15&lt;=$R$8,"; payback within threshold","; payback longer than threshold"),""))))</f>
        <v/>
      </c>
    </row>
    <row r="16">
      <c r="A16" s="4" t="n"/>
      <c r="B16" s="8" t="n"/>
      <c r="C16" s="9" t="n"/>
      <c r="D16" s="8" t="n"/>
      <c r="E16" s="10" t="n"/>
      <c r="F16" s="10" t="n"/>
      <c r="G16" s="4" t="n"/>
      <c r="H16" s="4" t="n"/>
      <c r="I16" s="11">
        <f>IF(AND(ISNUMBER(B16),ISNUMBER(C16)),IF(C16&gt;0,B16/C16,""),"")</f>
        <v/>
      </c>
      <c r="J16" s="11">
        <f>IF(AND(ISNUMBER(D16),ISNUMBER(E16)),D16*E16,"")</f>
        <v/>
      </c>
      <c r="K16" s="12">
        <f>IF(AND(ISNUMBER(F16),F16&gt;0),1/F16,IF(ISNUMBER(G16),G16,""))</f>
        <v/>
      </c>
      <c r="L16" s="11">
        <f>IF(AND(ISNUMBER(J16),ISNUMBER(K16)),J16*K16,"")</f>
        <v/>
      </c>
      <c r="M16" s="13">
        <f>IF(AND(ISNUMBER(L16),ISNUMBER(I16)),IF(I16&gt;0,L16/I16,""),"")</f>
        <v/>
      </c>
      <c r="N16" s="13">
        <f>IF(AND(ISNUMBER(I16),ISNUMBER(J16)),IF(J16&gt;0,I16/J16,""),"")</f>
        <v/>
      </c>
      <c r="O16" s="14">
        <f>IF(A16="","",IF(NOT(ISNUMBER(M16)),"no data",IF(M16&lt;1,"does not pay back",IF(ISNUMBER($R$7),IF(M16&gt;=$R$7,"LTV/CAC above threshold","LTV/CAC below threshold"),"pays back, LTV/CAC threshold not set")&amp;IF(AND(ISNUMBER($R$8),ISNUMBER(N16)),IF(N16&lt;=$R$8,"; payback within threshold","; payback longer than threshold"),""))))</f>
        <v/>
      </c>
    </row>
    <row r="17">
      <c r="A17" s="4" t="n"/>
      <c r="B17" s="8" t="n"/>
      <c r="C17" s="9" t="n"/>
      <c r="D17" s="8" t="n"/>
      <c r="E17" s="10" t="n"/>
      <c r="F17" s="10" t="n"/>
      <c r="G17" s="4" t="n"/>
      <c r="H17" s="4" t="n"/>
      <c r="I17" s="11">
        <f>IF(AND(ISNUMBER(B17),ISNUMBER(C17)),IF(C17&gt;0,B17/C17,""),"")</f>
        <v/>
      </c>
      <c r="J17" s="11">
        <f>IF(AND(ISNUMBER(D17),ISNUMBER(E17)),D17*E17,"")</f>
        <v/>
      </c>
      <c r="K17" s="12">
        <f>IF(AND(ISNUMBER(F17),F17&gt;0),1/F17,IF(ISNUMBER(G17),G17,""))</f>
        <v/>
      </c>
      <c r="L17" s="11">
        <f>IF(AND(ISNUMBER(J17),ISNUMBER(K17)),J17*K17,"")</f>
        <v/>
      </c>
      <c r="M17" s="13">
        <f>IF(AND(ISNUMBER(L17),ISNUMBER(I17)),IF(I17&gt;0,L17/I17,""),"")</f>
        <v/>
      </c>
      <c r="N17" s="13">
        <f>IF(AND(ISNUMBER(I17),ISNUMBER(J17)),IF(J17&gt;0,I17/J17,""),"")</f>
        <v/>
      </c>
      <c r="O17" s="14">
        <f>IF(A17="","",IF(NOT(ISNUMBER(M17)),"no data",IF(M17&lt;1,"does not pay back",IF(ISNUMBER($R$7),IF(M17&gt;=$R$7,"LTV/CAC above threshold","LTV/CAC below threshold"),"pays back, LTV/CAC threshold not set")&amp;IF(AND(ISNUMBER($R$8),ISNUMBER(N17)),IF(N17&lt;=$R$8,"; payback within threshold","; payback longer than threshold"),""))))</f>
        <v/>
      </c>
    </row>
    <row r="18">
      <c r="A18" s="4" t="n"/>
      <c r="B18" s="8" t="n"/>
      <c r="C18" s="9" t="n"/>
      <c r="D18" s="8" t="n"/>
      <c r="E18" s="10" t="n"/>
      <c r="F18" s="10" t="n"/>
      <c r="G18" s="4" t="n"/>
      <c r="H18" s="4" t="n"/>
      <c r="I18" s="11">
        <f>IF(AND(ISNUMBER(B18),ISNUMBER(C18)),IF(C18&gt;0,B18/C18,""),"")</f>
        <v/>
      </c>
      <c r="J18" s="11">
        <f>IF(AND(ISNUMBER(D18),ISNUMBER(E18)),D18*E18,"")</f>
        <v/>
      </c>
      <c r="K18" s="12">
        <f>IF(AND(ISNUMBER(F18),F18&gt;0),1/F18,IF(ISNUMBER(G18),G18,""))</f>
        <v/>
      </c>
      <c r="L18" s="11">
        <f>IF(AND(ISNUMBER(J18),ISNUMBER(K18)),J18*K18,"")</f>
        <v/>
      </c>
      <c r="M18" s="13">
        <f>IF(AND(ISNUMBER(L18),ISNUMBER(I18)),IF(I18&gt;0,L18/I18,""),"")</f>
        <v/>
      </c>
      <c r="N18" s="13">
        <f>IF(AND(ISNUMBER(I18),ISNUMBER(J18)),IF(J18&gt;0,I18/J18,""),"")</f>
        <v/>
      </c>
      <c r="O18" s="14">
        <f>IF(A18="","",IF(NOT(ISNUMBER(M18)),"no data",IF(M18&lt;1,"does not pay back",IF(ISNUMBER($R$7),IF(M18&gt;=$R$7,"LTV/CAC above threshold","LTV/CAC below threshold"),"pays back, LTV/CAC threshold not set")&amp;IF(AND(ISNUMBER($R$8),ISNUMBER(N18)),IF(N18&lt;=$R$8,"; payback within threshold","; payback longer than threshold"),""))))</f>
        <v/>
      </c>
    </row>
    <row r="19">
      <c r="A19" s="4" t="n"/>
      <c r="B19" s="8" t="n"/>
      <c r="C19" s="9" t="n"/>
      <c r="D19" s="8" t="n"/>
      <c r="E19" s="10" t="n"/>
      <c r="F19" s="10" t="n"/>
      <c r="G19" s="4" t="n"/>
      <c r="H19" s="4" t="n"/>
      <c r="I19" s="11">
        <f>IF(AND(ISNUMBER(B19),ISNUMBER(C19)),IF(C19&gt;0,B19/C19,""),"")</f>
        <v/>
      </c>
      <c r="J19" s="11">
        <f>IF(AND(ISNUMBER(D19),ISNUMBER(E19)),D19*E19,"")</f>
        <v/>
      </c>
      <c r="K19" s="12">
        <f>IF(AND(ISNUMBER(F19),F19&gt;0),1/F19,IF(ISNUMBER(G19),G19,""))</f>
        <v/>
      </c>
      <c r="L19" s="11">
        <f>IF(AND(ISNUMBER(J19),ISNUMBER(K19)),J19*K19,"")</f>
        <v/>
      </c>
      <c r="M19" s="13">
        <f>IF(AND(ISNUMBER(L19),ISNUMBER(I19)),IF(I19&gt;0,L19/I19,""),"")</f>
        <v/>
      </c>
      <c r="N19" s="13">
        <f>IF(AND(ISNUMBER(I19),ISNUMBER(J19)),IF(J19&gt;0,I19/J19,""),"")</f>
        <v/>
      </c>
      <c r="O19" s="14">
        <f>IF(A19="","",IF(NOT(ISNUMBER(M19)),"no data",IF(M19&lt;1,"does not pay back",IF(ISNUMBER($R$7),IF(M19&gt;=$R$7,"LTV/CAC above threshold","LTV/CAC below threshold"),"pays back, LTV/CAC threshold not set")&amp;IF(AND(ISNUMBER($R$8),ISNUMBER(N19)),IF(N19&lt;=$R$8,"; payback within threshold","; payback longer than threshold"),""))))</f>
        <v/>
      </c>
    </row>
    <row r="20">
      <c r="A20" s="4" t="n"/>
      <c r="B20" s="8" t="n"/>
      <c r="C20" s="9" t="n"/>
      <c r="D20" s="8" t="n"/>
      <c r="E20" s="10" t="n"/>
      <c r="F20" s="10" t="n"/>
      <c r="G20" s="4" t="n"/>
      <c r="H20" s="4" t="n"/>
      <c r="I20" s="11">
        <f>IF(AND(ISNUMBER(B20),ISNUMBER(C20)),IF(C20&gt;0,B20/C20,""),"")</f>
        <v/>
      </c>
      <c r="J20" s="11">
        <f>IF(AND(ISNUMBER(D20),ISNUMBER(E20)),D20*E20,"")</f>
        <v/>
      </c>
      <c r="K20" s="12">
        <f>IF(AND(ISNUMBER(F20),F20&gt;0),1/F20,IF(ISNUMBER(G20),G20,""))</f>
        <v/>
      </c>
      <c r="L20" s="11">
        <f>IF(AND(ISNUMBER(J20),ISNUMBER(K20)),J20*K20,"")</f>
        <v/>
      </c>
      <c r="M20" s="13">
        <f>IF(AND(ISNUMBER(L20),ISNUMBER(I20)),IF(I20&gt;0,L20/I20,""),"")</f>
        <v/>
      </c>
      <c r="N20" s="13">
        <f>IF(AND(ISNUMBER(I20),ISNUMBER(J20)),IF(J20&gt;0,I20/J20,""),"")</f>
        <v/>
      </c>
      <c r="O20" s="14">
        <f>IF(A20="","",IF(NOT(ISNUMBER(M20)),"no data",IF(M20&lt;1,"does not pay back",IF(ISNUMBER($R$7),IF(M20&gt;=$R$7,"LTV/CAC above threshold","LTV/CAC below threshold"),"pays back, LTV/CAC threshold not set")&amp;IF(AND(ISNUMBER($R$8),ISNUMBER(N20)),IF(N20&lt;=$R$8,"; payback within threshold","; payback longer than threshold"),""))))</f>
        <v/>
      </c>
    </row>
    <row r="21">
      <c r="A21" s="4" t="n"/>
      <c r="B21" s="8" t="n"/>
      <c r="C21" s="9" t="n"/>
      <c r="D21" s="8" t="n"/>
      <c r="E21" s="10" t="n"/>
      <c r="F21" s="10" t="n"/>
      <c r="G21" s="4" t="n"/>
      <c r="H21" s="4" t="n"/>
      <c r="I21" s="11">
        <f>IF(AND(ISNUMBER(B21),ISNUMBER(C21)),IF(C21&gt;0,B21/C21,""),"")</f>
        <v/>
      </c>
      <c r="J21" s="11">
        <f>IF(AND(ISNUMBER(D21),ISNUMBER(E21)),D21*E21,"")</f>
        <v/>
      </c>
      <c r="K21" s="12">
        <f>IF(AND(ISNUMBER(F21),F21&gt;0),1/F21,IF(ISNUMBER(G21),G21,""))</f>
        <v/>
      </c>
      <c r="L21" s="11">
        <f>IF(AND(ISNUMBER(J21),ISNUMBER(K21)),J21*K21,"")</f>
        <v/>
      </c>
      <c r="M21" s="13">
        <f>IF(AND(ISNUMBER(L21),ISNUMBER(I21)),IF(I21&gt;0,L21/I21,""),"")</f>
        <v/>
      </c>
      <c r="N21" s="13">
        <f>IF(AND(ISNUMBER(I21),ISNUMBER(J21)),IF(J21&gt;0,I21/J21,""),"")</f>
        <v/>
      </c>
      <c r="O21" s="14">
        <f>IF(A21="","",IF(NOT(ISNUMBER(M21)),"no data",IF(M21&lt;1,"does not pay back",IF(ISNUMBER($R$7),IF(M21&gt;=$R$7,"LTV/CAC above threshold","LTV/CAC below threshold"),"pays back, LTV/CAC threshold not set")&amp;IF(AND(ISNUMBER($R$8),ISNUMBER(N21)),IF(N21&lt;=$R$8,"; payback within threshold","; payback longer than threshold"),""))))</f>
        <v/>
      </c>
    </row>
    <row r="22">
      <c r="A22" s="4" t="n"/>
      <c r="B22" s="8" t="n"/>
      <c r="C22" s="9" t="n"/>
      <c r="D22" s="8" t="n"/>
      <c r="E22" s="10" t="n"/>
      <c r="F22" s="10" t="n"/>
      <c r="G22" s="4" t="n"/>
      <c r="H22" s="4" t="n"/>
      <c r="I22" s="11">
        <f>IF(AND(ISNUMBER(B22),ISNUMBER(C22)),IF(C22&gt;0,B22/C22,""),"")</f>
        <v/>
      </c>
      <c r="J22" s="11">
        <f>IF(AND(ISNUMBER(D22),ISNUMBER(E22)),D22*E22,"")</f>
        <v/>
      </c>
      <c r="K22" s="12">
        <f>IF(AND(ISNUMBER(F22),F22&gt;0),1/F22,IF(ISNUMBER(G22),G22,""))</f>
        <v/>
      </c>
      <c r="L22" s="11">
        <f>IF(AND(ISNUMBER(J22),ISNUMBER(K22)),J22*K22,"")</f>
        <v/>
      </c>
      <c r="M22" s="13">
        <f>IF(AND(ISNUMBER(L22),ISNUMBER(I22)),IF(I22&gt;0,L22/I22,""),"")</f>
        <v/>
      </c>
      <c r="N22" s="13">
        <f>IF(AND(ISNUMBER(I22),ISNUMBER(J22)),IF(J22&gt;0,I22/J22,""),"")</f>
        <v/>
      </c>
      <c r="O22" s="14">
        <f>IF(A22="","",IF(NOT(ISNUMBER(M22)),"no data",IF(M22&lt;1,"does not pay back",IF(ISNUMBER($R$7),IF(M22&gt;=$R$7,"LTV/CAC above threshold","LTV/CAC below threshold"),"pays back, LTV/CAC threshold not set")&amp;IF(AND(ISNUMBER($R$8),ISNUMBER(N22)),IF(N22&lt;=$R$8,"; payback within threshold","; payback longer than threshold"),""))))</f>
        <v/>
      </c>
    </row>
    <row r="23">
      <c r="A23" s="4" t="n"/>
      <c r="B23" s="8" t="n"/>
      <c r="C23" s="9" t="n"/>
      <c r="D23" s="8" t="n"/>
      <c r="E23" s="10" t="n"/>
      <c r="F23" s="10" t="n"/>
      <c r="G23" s="4" t="n"/>
      <c r="H23" s="4" t="n"/>
      <c r="I23" s="11">
        <f>IF(AND(ISNUMBER(B23),ISNUMBER(C23)),IF(C23&gt;0,B23/C23,""),"")</f>
        <v/>
      </c>
      <c r="J23" s="11">
        <f>IF(AND(ISNUMBER(D23),ISNUMBER(E23)),D23*E23,"")</f>
        <v/>
      </c>
      <c r="K23" s="12">
        <f>IF(AND(ISNUMBER(F23),F23&gt;0),1/F23,IF(ISNUMBER(G23),G23,""))</f>
        <v/>
      </c>
      <c r="L23" s="11">
        <f>IF(AND(ISNUMBER(J23),ISNUMBER(K23)),J23*K23,"")</f>
        <v/>
      </c>
      <c r="M23" s="13">
        <f>IF(AND(ISNUMBER(L23),ISNUMBER(I23)),IF(I23&gt;0,L23/I23,""),"")</f>
        <v/>
      </c>
      <c r="N23" s="13">
        <f>IF(AND(ISNUMBER(I23),ISNUMBER(J23)),IF(J23&gt;0,I23/J23,""),"")</f>
        <v/>
      </c>
      <c r="O23" s="14">
        <f>IF(A23="","",IF(NOT(ISNUMBER(M23)),"no data",IF(M23&lt;1,"does not pay back",IF(ISNUMBER($R$7),IF(M23&gt;=$R$7,"LTV/CAC above threshold","LTV/CAC below threshold"),"pays back, LTV/CAC threshold not set")&amp;IF(AND(ISNUMBER($R$8),ISNUMBER(N23)),IF(N23&lt;=$R$8,"; payback within threshold","; payback longer than threshold"),""))))</f>
        <v/>
      </c>
    </row>
    <row r="24">
      <c r="A24" s="4" t="n"/>
      <c r="B24" s="8" t="n"/>
      <c r="C24" s="9" t="n"/>
      <c r="D24" s="8" t="n"/>
      <c r="E24" s="10" t="n"/>
      <c r="F24" s="10" t="n"/>
      <c r="G24" s="4" t="n"/>
      <c r="H24" s="4" t="n"/>
      <c r="I24" s="11">
        <f>IF(AND(ISNUMBER(B24),ISNUMBER(C24)),IF(C24&gt;0,B24/C24,""),"")</f>
        <v/>
      </c>
      <c r="J24" s="11">
        <f>IF(AND(ISNUMBER(D24),ISNUMBER(E24)),D24*E24,"")</f>
        <v/>
      </c>
      <c r="K24" s="12">
        <f>IF(AND(ISNUMBER(F24),F24&gt;0),1/F24,IF(ISNUMBER(G24),G24,""))</f>
        <v/>
      </c>
      <c r="L24" s="11">
        <f>IF(AND(ISNUMBER(J24),ISNUMBER(K24)),J24*K24,"")</f>
        <v/>
      </c>
      <c r="M24" s="13">
        <f>IF(AND(ISNUMBER(L24),ISNUMBER(I24)),IF(I24&gt;0,L24/I24,""),"")</f>
        <v/>
      </c>
      <c r="N24" s="13">
        <f>IF(AND(ISNUMBER(I24),ISNUMBER(J24)),IF(J24&gt;0,I24/J24,""),"")</f>
        <v/>
      </c>
      <c r="O24" s="14">
        <f>IF(A24="","",IF(NOT(ISNUMBER(M24)),"no data",IF(M24&lt;1,"does not pay back",IF(ISNUMBER($R$7),IF(M24&gt;=$R$7,"LTV/CAC above threshold","LTV/CAC below threshold"),"pays back, LTV/CAC threshold not set")&amp;IF(AND(ISNUMBER($R$8),ISNUMBER(N24)),IF(N24&lt;=$R$8,"; payback within threshold","; payback longer than threshold"),""))))</f>
        <v/>
      </c>
    </row>
    <row r="25">
      <c r="A25" s="4" t="n"/>
      <c r="B25" s="8" t="n"/>
      <c r="C25" s="9" t="n"/>
      <c r="D25" s="8" t="n"/>
      <c r="E25" s="10" t="n"/>
      <c r="F25" s="10" t="n"/>
      <c r="G25" s="4" t="n"/>
      <c r="H25" s="4" t="n"/>
      <c r="I25" s="11">
        <f>IF(AND(ISNUMBER(B25),ISNUMBER(C25)),IF(C25&gt;0,B25/C25,""),"")</f>
        <v/>
      </c>
      <c r="J25" s="11">
        <f>IF(AND(ISNUMBER(D25),ISNUMBER(E25)),D25*E25,"")</f>
        <v/>
      </c>
      <c r="K25" s="12">
        <f>IF(AND(ISNUMBER(F25),F25&gt;0),1/F25,IF(ISNUMBER(G25),G25,""))</f>
        <v/>
      </c>
      <c r="L25" s="11">
        <f>IF(AND(ISNUMBER(J25),ISNUMBER(K25)),J25*K25,"")</f>
        <v/>
      </c>
      <c r="M25" s="13">
        <f>IF(AND(ISNUMBER(L25),ISNUMBER(I25)),IF(I25&gt;0,L25/I25,""),"")</f>
        <v/>
      </c>
      <c r="N25" s="13">
        <f>IF(AND(ISNUMBER(I25),ISNUMBER(J25)),IF(J25&gt;0,I25/J25,""),"")</f>
        <v/>
      </c>
      <c r="O25" s="14">
        <f>IF(A25="","",IF(NOT(ISNUMBER(M25)),"no data",IF(M25&lt;1,"does not pay back",IF(ISNUMBER($R$7),IF(M25&gt;=$R$7,"LTV/CAC above threshold","LTV/CAC below threshold"),"pays back, LTV/CAC threshold not set")&amp;IF(AND(ISNUMBER($R$8),ISNUMBER(N25)),IF(N25&lt;=$R$8,"; payback within threshold","; payback longer than threshold"),""))))</f>
        <v/>
      </c>
    </row>
    <row r="26">
      <c r="A26" s="4" t="n"/>
      <c r="B26" s="8" t="n"/>
      <c r="C26" s="9" t="n"/>
      <c r="D26" s="8" t="n"/>
      <c r="E26" s="10" t="n"/>
      <c r="F26" s="10" t="n"/>
      <c r="G26" s="4" t="n"/>
      <c r="H26" s="4" t="n"/>
      <c r="I26" s="11">
        <f>IF(AND(ISNUMBER(B26),ISNUMBER(C26)),IF(C26&gt;0,B26/C26,""),"")</f>
        <v/>
      </c>
      <c r="J26" s="11">
        <f>IF(AND(ISNUMBER(D26),ISNUMBER(E26)),D26*E26,"")</f>
        <v/>
      </c>
      <c r="K26" s="12">
        <f>IF(AND(ISNUMBER(F26),F26&gt;0),1/F26,IF(ISNUMBER(G26),G26,""))</f>
        <v/>
      </c>
      <c r="L26" s="11">
        <f>IF(AND(ISNUMBER(J26),ISNUMBER(K26)),J26*K26,"")</f>
        <v/>
      </c>
      <c r="M26" s="13">
        <f>IF(AND(ISNUMBER(L26),ISNUMBER(I26)),IF(I26&gt;0,L26/I26,""),"")</f>
        <v/>
      </c>
      <c r="N26" s="13">
        <f>IF(AND(ISNUMBER(I26),ISNUMBER(J26)),IF(J26&gt;0,I26/J26,""),"")</f>
        <v/>
      </c>
      <c r="O26" s="14">
        <f>IF(A26="","",IF(NOT(ISNUMBER(M26)),"no data",IF(M26&lt;1,"does not pay back",IF(ISNUMBER($R$7),IF(M26&gt;=$R$7,"LTV/CAC above threshold","LTV/CAC below threshold"),"pays back, LTV/CAC threshold not set")&amp;IF(AND(ISNUMBER($R$8),ISNUMBER(N26)),IF(N26&lt;=$R$8,"; payback within threshold","; payback longer than threshold"),""))))</f>
        <v/>
      </c>
    </row>
    <row r="27">
      <c r="A27" s="4" t="n"/>
      <c r="B27" s="8" t="n"/>
      <c r="C27" s="9" t="n"/>
      <c r="D27" s="8" t="n"/>
      <c r="E27" s="10" t="n"/>
      <c r="F27" s="10" t="n"/>
      <c r="G27" s="4" t="n"/>
      <c r="H27" s="4" t="n"/>
      <c r="I27" s="11">
        <f>IF(AND(ISNUMBER(B27),ISNUMBER(C27)),IF(C27&gt;0,B27/C27,""),"")</f>
        <v/>
      </c>
      <c r="J27" s="11">
        <f>IF(AND(ISNUMBER(D27),ISNUMBER(E27)),D27*E27,"")</f>
        <v/>
      </c>
      <c r="K27" s="12">
        <f>IF(AND(ISNUMBER(F27),F27&gt;0),1/F27,IF(ISNUMBER(G27),G27,""))</f>
        <v/>
      </c>
      <c r="L27" s="11">
        <f>IF(AND(ISNUMBER(J27),ISNUMBER(K27)),J27*K27,"")</f>
        <v/>
      </c>
      <c r="M27" s="13">
        <f>IF(AND(ISNUMBER(L27),ISNUMBER(I27)),IF(I27&gt;0,L27/I27,""),"")</f>
        <v/>
      </c>
      <c r="N27" s="13">
        <f>IF(AND(ISNUMBER(I27),ISNUMBER(J27)),IF(J27&gt;0,I27/J27,""),"")</f>
        <v/>
      </c>
      <c r="O27" s="14">
        <f>IF(A27="","",IF(NOT(ISNUMBER(M27)),"no data",IF(M27&lt;1,"does not pay back",IF(ISNUMBER($R$7),IF(M27&gt;=$R$7,"LTV/CAC above threshold","LTV/CAC below threshold"),"pays back, LTV/CAC threshold not set")&amp;IF(AND(ISNUMBER($R$8),ISNUMBER(N27)),IF(N27&lt;=$R$8,"; payback within threshold","; payback longer than threshold"),""))))</f>
        <v/>
      </c>
    </row>
    <row r="28">
      <c r="A28" s="4" t="n"/>
      <c r="B28" s="8" t="n"/>
      <c r="C28" s="9" t="n"/>
      <c r="D28" s="8" t="n"/>
      <c r="E28" s="10" t="n"/>
      <c r="F28" s="10" t="n"/>
      <c r="G28" s="4" t="n"/>
      <c r="H28" s="4" t="n"/>
      <c r="I28" s="11">
        <f>IF(AND(ISNUMBER(B28),ISNUMBER(C28)),IF(C28&gt;0,B28/C28,""),"")</f>
        <v/>
      </c>
      <c r="J28" s="11">
        <f>IF(AND(ISNUMBER(D28),ISNUMBER(E28)),D28*E28,"")</f>
        <v/>
      </c>
      <c r="K28" s="12">
        <f>IF(AND(ISNUMBER(F28),F28&gt;0),1/F28,IF(ISNUMBER(G28),G28,""))</f>
        <v/>
      </c>
      <c r="L28" s="11">
        <f>IF(AND(ISNUMBER(J28),ISNUMBER(K28)),J28*K28,"")</f>
        <v/>
      </c>
      <c r="M28" s="13">
        <f>IF(AND(ISNUMBER(L28),ISNUMBER(I28)),IF(I28&gt;0,L28/I28,""),"")</f>
        <v/>
      </c>
      <c r="N28" s="13">
        <f>IF(AND(ISNUMBER(I28),ISNUMBER(J28)),IF(J28&gt;0,I28/J28,""),"")</f>
        <v/>
      </c>
      <c r="O28" s="14">
        <f>IF(A28="","",IF(NOT(ISNUMBER(M28)),"no data",IF(M28&lt;1,"does not pay back",IF(ISNUMBER($R$7),IF(M28&gt;=$R$7,"LTV/CAC above threshold","LTV/CAC below threshold"),"pays back, LTV/CAC threshold not set")&amp;IF(AND(ISNUMBER($R$8),ISNUMBER(N28)),IF(N28&lt;=$R$8,"; payback within threshold","; payback longer than threshold"),""))))</f>
        <v/>
      </c>
    </row>
    <row r="29">
      <c r="A29" s="4" t="n"/>
      <c r="B29" s="8" t="n"/>
      <c r="C29" s="9" t="n"/>
      <c r="D29" s="8" t="n"/>
      <c r="E29" s="10" t="n"/>
      <c r="F29" s="10" t="n"/>
      <c r="G29" s="4" t="n"/>
      <c r="H29" s="4" t="n"/>
      <c r="I29" s="11">
        <f>IF(AND(ISNUMBER(B29),ISNUMBER(C29)),IF(C29&gt;0,B29/C29,""),"")</f>
        <v/>
      </c>
      <c r="J29" s="11">
        <f>IF(AND(ISNUMBER(D29),ISNUMBER(E29)),D29*E29,"")</f>
        <v/>
      </c>
      <c r="K29" s="12">
        <f>IF(AND(ISNUMBER(F29),F29&gt;0),1/F29,IF(ISNUMBER(G29),G29,""))</f>
        <v/>
      </c>
      <c r="L29" s="11">
        <f>IF(AND(ISNUMBER(J29),ISNUMBER(K29)),J29*K29,"")</f>
        <v/>
      </c>
      <c r="M29" s="13">
        <f>IF(AND(ISNUMBER(L29),ISNUMBER(I29)),IF(I29&gt;0,L29/I29,""),"")</f>
        <v/>
      </c>
      <c r="N29" s="13">
        <f>IF(AND(ISNUMBER(I29),ISNUMBER(J29)),IF(J29&gt;0,I29/J29,""),"")</f>
        <v/>
      </c>
      <c r="O29" s="14">
        <f>IF(A29="","",IF(NOT(ISNUMBER(M29)),"no data",IF(M29&lt;1,"does not pay back",IF(ISNUMBER($R$7),IF(M29&gt;=$R$7,"LTV/CAC above threshold","LTV/CAC below threshold"),"pays back, LTV/CAC threshold not set")&amp;IF(AND(ISNUMBER($R$8),ISNUMBER(N29)),IF(N29&lt;=$R$8,"; payback within threshold","; payback longer than threshold"),""))))</f>
        <v/>
      </c>
    </row>
    <row r="30">
      <c r="A30" s="4" t="n"/>
      <c r="B30" s="8" t="n"/>
      <c r="C30" s="9" t="n"/>
      <c r="D30" s="8" t="n"/>
      <c r="E30" s="10" t="n"/>
      <c r="F30" s="10" t="n"/>
      <c r="G30" s="4" t="n"/>
      <c r="H30" s="4" t="n"/>
      <c r="I30" s="11">
        <f>IF(AND(ISNUMBER(B30),ISNUMBER(C30)),IF(C30&gt;0,B30/C30,""),"")</f>
        <v/>
      </c>
      <c r="J30" s="11">
        <f>IF(AND(ISNUMBER(D30),ISNUMBER(E30)),D30*E30,"")</f>
        <v/>
      </c>
      <c r="K30" s="12">
        <f>IF(AND(ISNUMBER(F30),F30&gt;0),1/F30,IF(ISNUMBER(G30),G30,""))</f>
        <v/>
      </c>
      <c r="L30" s="11">
        <f>IF(AND(ISNUMBER(J30),ISNUMBER(K30)),J30*K30,"")</f>
        <v/>
      </c>
      <c r="M30" s="13">
        <f>IF(AND(ISNUMBER(L30),ISNUMBER(I30)),IF(I30&gt;0,L30/I30,""),"")</f>
        <v/>
      </c>
      <c r="N30" s="13">
        <f>IF(AND(ISNUMBER(I30),ISNUMBER(J30)),IF(J30&gt;0,I30/J30,""),"")</f>
        <v/>
      </c>
      <c r="O30" s="14">
        <f>IF(A30="","",IF(NOT(ISNUMBER(M30)),"no data",IF(M30&lt;1,"does not pay back",IF(ISNUMBER($R$7),IF(M30&gt;=$R$7,"LTV/CAC above threshold","LTV/CAC below threshold"),"pays back, LTV/CAC threshold not set")&amp;IF(AND(ISNUMBER($R$8),ISNUMBER(N30)),IF(N30&lt;=$R$8,"; payback within threshold","; payback longer than threshold"),""))))</f>
        <v/>
      </c>
    </row>
    <row r="31">
      <c r="A31" s="4" t="n"/>
      <c r="B31" s="8" t="n"/>
      <c r="C31" s="9" t="n"/>
      <c r="D31" s="8" t="n"/>
      <c r="E31" s="10" t="n"/>
      <c r="F31" s="10" t="n"/>
      <c r="G31" s="4" t="n"/>
      <c r="H31" s="4" t="n"/>
      <c r="I31" s="11">
        <f>IF(AND(ISNUMBER(B31),ISNUMBER(C31)),IF(C31&gt;0,B31/C31,""),"")</f>
        <v/>
      </c>
      <c r="J31" s="11">
        <f>IF(AND(ISNUMBER(D31),ISNUMBER(E31)),D31*E31,"")</f>
        <v/>
      </c>
      <c r="K31" s="12">
        <f>IF(AND(ISNUMBER(F31),F31&gt;0),1/F31,IF(ISNUMBER(G31),G31,""))</f>
        <v/>
      </c>
      <c r="L31" s="11">
        <f>IF(AND(ISNUMBER(J31),ISNUMBER(K31)),J31*K31,"")</f>
        <v/>
      </c>
      <c r="M31" s="13">
        <f>IF(AND(ISNUMBER(L31),ISNUMBER(I31)),IF(I31&gt;0,L31/I31,""),"")</f>
        <v/>
      </c>
      <c r="N31" s="13">
        <f>IF(AND(ISNUMBER(I31),ISNUMBER(J31)),IF(J31&gt;0,I31/J31,""),"")</f>
        <v/>
      </c>
      <c r="O31" s="14">
        <f>IF(A31="","",IF(NOT(ISNUMBER(M31)),"no data",IF(M31&lt;1,"does not pay back",IF(ISNUMBER($R$7),IF(M31&gt;=$R$7,"LTV/CAC above threshold","LTV/CAC below threshold"),"pays back, LTV/CAC threshold not set")&amp;IF(AND(ISNUMBER($R$8),ISNUMBER(N31)),IF(N31&lt;=$R$8,"; payback within threshold","; payback longer than threshold"),""))))</f>
        <v/>
      </c>
    </row>
    <row r="32">
      <c r="A32" s="4" t="n"/>
      <c r="B32" s="8" t="n"/>
      <c r="C32" s="9" t="n"/>
      <c r="D32" s="8" t="n"/>
      <c r="E32" s="10" t="n"/>
      <c r="F32" s="10" t="n"/>
      <c r="G32" s="4" t="n"/>
      <c r="H32" s="4" t="n"/>
      <c r="I32" s="11">
        <f>IF(AND(ISNUMBER(B32),ISNUMBER(C32)),IF(C32&gt;0,B32/C32,""),"")</f>
        <v/>
      </c>
      <c r="J32" s="11">
        <f>IF(AND(ISNUMBER(D32),ISNUMBER(E32)),D32*E32,"")</f>
        <v/>
      </c>
      <c r="K32" s="12">
        <f>IF(AND(ISNUMBER(F32),F32&gt;0),1/F32,IF(ISNUMBER(G32),G32,""))</f>
        <v/>
      </c>
      <c r="L32" s="11">
        <f>IF(AND(ISNUMBER(J32),ISNUMBER(K32)),J32*K32,"")</f>
        <v/>
      </c>
      <c r="M32" s="13">
        <f>IF(AND(ISNUMBER(L32),ISNUMBER(I32)),IF(I32&gt;0,L32/I32,""),"")</f>
        <v/>
      </c>
      <c r="N32" s="13">
        <f>IF(AND(ISNUMBER(I32),ISNUMBER(J32)),IF(J32&gt;0,I32/J32,""),"")</f>
        <v/>
      </c>
      <c r="O32" s="14">
        <f>IF(A32="","",IF(NOT(ISNUMBER(M32)),"no data",IF(M32&lt;1,"does not pay back",IF(ISNUMBER($R$7),IF(M32&gt;=$R$7,"LTV/CAC above threshold","LTV/CAC below threshold"),"pays back, LTV/CAC threshold not set")&amp;IF(AND(ISNUMBER($R$8),ISNUMBER(N32)),IF(N32&lt;=$R$8,"; payback within threshold","; payback longer than threshold"),""))))</f>
        <v/>
      </c>
    </row>
    <row r="33">
      <c r="A33" s="4" t="n"/>
      <c r="B33" s="8" t="n"/>
      <c r="C33" s="9" t="n"/>
      <c r="D33" s="8" t="n"/>
      <c r="E33" s="10" t="n"/>
      <c r="F33" s="10" t="n"/>
      <c r="G33" s="4" t="n"/>
      <c r="H33" s="4" t="n"/>
      <c r="I33" s="11">
        <f>IF(AND(ISNUMBER(B33),ISNUMBER(C33)),IF(C33&gt;0,B33/C33,""),"")</f>
        <v/>
      </c>
      <c r="J33" s="11">
        <f>IF(AND(ISNUMBER(D33),ISNUMBER(E33)),D33*E33,"")</f>
        <v/>
      </c>
      <c r="K33" s="12">
        <f>IF(AND(ISNUMBER(F33),F33&gt;0),1/F33,IF(ISNUMBER(G33),G33,""))</f>
        <v/>
      </c>
      <c r="L33" s="11">
        <f>IF(AND(ISNUMBER(J33),ISNUMBER(K33)),J33*K33,"")</f>
        <v/>
      </c>
      <c r="M33" s="13">
        <f>IF(AND(ISNUMBER(L33),ISNUMBER(I33)),IF(I33&gt;0,L33/I33,""),"")</f>
        <v/>
      </c>
      <c r="N33" s="13">
        <f>IF(AND(ISNUMBER(I33),ISNUMBER(J33)),IF(J33&gt;0,I33/J33,""),"")</f>
        <v/>
      </c>
      <c r="O33" s="14">
        <f>IF(A33="","",IF(NOT(ISNUMBER(M33)),"no data",IF(M33&lt;1,"does not pay back",IF(ISNUMBER($R$7),IF(M33&gt;=$R$7,"LTV/CAC above threshold","LTV/CAC below threshold"),"pays back, LTV/CAC threshold not set")&amp;IF(AND(ISNUMBER($R$8),ISNUMBER(N33)),IF(N33&lt;=$R$8,"; payback within threshold","; payback longer than threshold"),""))))</f>
        <v/>
      </c>
    </row>
    <row r="34">
      <c r="A34" s="4" t="n"/>
      <c r="B34" s="8" t="n"/>
      <c r="C34" s="9" t="n"/>
      <c r="D34" s="8" t="n"/>
      <c r="E34" s="10" t="n"/>
      <c r="F34" s="10" t="n"/>
      <c r="G34" s="4" t="n"/>
      <c r="H34" s="4" t="n"/>
      <c r="I34" s="11">
        <f>IF(AND(ISNUMBER(B34),ISNUMBER(C34)),IF(C34&gt;0,B34/C34,""),"")</f>
        <v/>
      </c>
      <c r="J34" s="11">
        <f>IF(AND(ISNUMBER(D34),ISNUMBER(E34)),D34*E34,"")</f>
        <v/>
      </c>
      <c r="K34" s="12">
        <f>IF(AND(ISNUMBER(F34),F34&gt;0),1/F34,IF(ISNUMBER(G34),G34,""))</f>
        <v/>
      </c>
      <c r="L34" s="11">
        <f>IF(AND(ISNUMBER(J34),ISNUMBER(K34)),J34*K34,"")</f>
        <v/>
      </c>
      <c r="M34" s="13">
        <f>IF(AND(ISNUMBER(L34),ISNUMBER(I34)),IF(I34&gt;0,L34/I34,""),"")</f>
        <v/>
      </c>
      <c r="N34" s="13">
        <f>IF(AND(ISNUMBER(I34),ISNUMBER(J34)),IF(J34&gt;0,I34/J34,""),"")</f>
        <v/>
      </c>
      <c r="O34" s="14">
        <f>IF(A34="","",IF(NOT(ISNUMBER(M34)),"no data",IF(M34&lt;1,"does not pay back",IF(ISNUMBER($R$7),IF(M34&gt;=$R$7,"LTV/CAC above threshold","LTV/CAC below threshold"),"pays back, LTV/CAC threshold not set")&amp;IF(AND(ISNUMBER($R$8),ISNUMBER(N34)),IF(N34&lt;=$R$8,"; payback within threshold","; payback longer than threshold"),""))))</f>
        <v/>
      </c>
    </row>
    <row r="35">
      <c r="A35" s="4" t="n"/>
      <c r="B35" s="8" t="n"/>
      <c r="C35" s="9" t="n"/>
      <c r="D35" s="8" t="n"/>
      <c r="E35" s="10" t="n"/>
      <c r="F35" s="10" t="n"/>
      <c r="G35" s="4" t="n"/>
      <c r="H35" s="4" t="n"/>
      <c r="I35" s="11">
        <f>IF(AND(ISNUMBER(B35),ISNUMBER(C35)),IF(C35&gt;0,B35/C35,""),"")</f>
        <v/>
      </c>
      <c r="J35" s="11">
        <f>IF(AND(ISNUMBER(D35),ISNUMBER(E35)),D35*E35,"")</f>
        <v/>
      </c>
      <c r="K35" s="12">
        <f>IF(AND(ISNUMBER(F35),F35&gt;0),1/F35,IF(ISNUMBER(G35),G35,""))</f>
        <v/>
      </c>
      <c r="L35" s="11">
        <f>IF(AND(ISNUMBER(J35),ISNUMBER(K35)),J35*K35,"")</f>
        <v/>
      </c>
      <c r="M35" s="13">
        <f>IF(AND(ISNUMBER(L35),ISNUMBER(I35)),IF(I35&gt;0,L35/I35,""),"")</f>
        <v/>
      </c>
      <c r="N35" s="13">
        <f>IF(AND(ISNUMBER(I35),ISNUMBER(J35)),IF(J35&gt;0,I35/J35,""),"")</f>
        <v/>
      </c>
      <c r="O35" s="14">
        <f>IF(A35="","",IF(NOT(ISNUMBER(M35)),"no data",IF(M35&lt;1,"does not pay back",IF(ISNUMBER($R$7),IF(M35&gt;=$R$7,"LTV/CAC above threshold","LTV/CAC below threshold"),"pays back, LTV/CAC threshold not set")&amp;IF(AND(ISNUMBER($R$8),ISNUMBER(N35)),IF(N35&lt;=$R$8,"; payback within threshold","; payback longer than threshold"),""))))</f>
        <v/>
      </c>
    </row>
    <row r="36">
      <c r="A36" s="4" t="n"/>
      <c r="B36" s="8" t="n"/>
      <c r="C36" s="9" t="n"/>
      <c r="D36" s="8" t="n"/>
      <c r="E36" s="10" t="n"/>
      <c r="F36" s="10" t="n"/>
      <c r="G36" s="4" t="n"/>
      <c r="H36" s="4" t="n"/>
      <c r="I36" s="11">
        <f>IF(AND(ISNUMBER(B36),ISNUMBER(C36)),IF(C36&gt;0,B36/C36,""),"")</f>
        <v/>
      </c>
      <c r="J36" s="11">
        <f>IF(AND(ISNUMBER(D36),ISNUMBER(E36)),D36*E36,"")</f>
        <v/>
      </c>
      <c r="K36" s="12">
        <f>IF(AND(ISNUMBER(F36),F36&gt;0),1/F36,IF(ISNUMBER(G36),G36,""))</f>
        <v/>
      </c>
      <c r="L36" s="11">
        <f>IF(AND(ISNUMBER(J36),ISNUMBER(K36)),J36*K36,"")</f>
        <v/>
      </c>
      <c r="M36" s="13">
        <f>IF(AND(ISNUMBER(L36),ISNUMBER(I36)),IF(I36&gt;0,L36/I36,""),"")</f>
        <v/>
      </c>
      <c r="N36" s="13">
        <f>IF(AND(ISNUMBER(I36),ISNUMBER(J36)),IF(J36&gt;0,I36/J36,""),"")</f>
        <v/>
      </c>
      <c r="O36" s="14">
        <f>IF(A36="","",IF(NOT(ISNUMBER(M36)),"no data",IF(M36&lt;1,"does not pay back",IF(ISNUMBER($R$7),IF(M36&gt;=$R$7,"LTV/CAC above threshold","LTV/CAC below threshold"),"pays back, LTV/CAC threshold not set")&amp;IF(AND(ISNUMBER($R$8),ISNUMBER(N36)),IF(N36&lt;=$R$8,"; payback within threshold","; payback longer than threshold"),""))))</f>
        <v/>
      </c>
    </row>
  </sheetData>
  <mergeCells count="4">
    <mergeCell ref="A1:O1"/>
    <mergeCell ref="C4:O4"/>
    <mergeCell ref="C2:O2"/>
    <mergeCell ref="C3:O3"/>
  </mergeCells>
  <dataValidations count="2">
    <dataValidation sqref="E7:F36" showDropDown="0" showInputMessage="0" showErrorMessage="1" allowBlank="1" error="A share from 0 to 1: enter 0.2 or 20%." type="decimal" errorStyle="warning" operator="between">
      <formula1>0</formula1>
      <formula2>1</formula2>
    </dataValidation>
    <dataValidation sqref="B7:D36 G7:G36" showDropDown="0" showInputMessage="0" showErrorMessage="1" allowBlank="1" error="A number not less than zero is required." type="decimal" errorStyle="warning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2026-10-22T07:21:44Z</dcterms:created>
  <dcterms:modified xmlns:dcterms="http://purl.org/dc/terms/" xmlns:xsi="http://www.w3.org/2001/XMLSchema-instance" xsi:type="dcterms:W3CDTF">2026-10-22T07:21:44Z</dcterms:modified>
</cp:coreProperties>
</file>