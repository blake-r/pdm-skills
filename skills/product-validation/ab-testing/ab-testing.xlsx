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B" sheetId="1" state="visible" r:id="rId1"/>
  </sheets>
  <definedNames>
    <definedName name="data_start">'A-B'!$A$14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.0%;-0.0%;0.0%"/>
    <numFmt numFmtId="165" formatCode="0.000"/>
    <numFmt numFmtId="166" formatCode="+0.00%;-0.00%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2F6FDE"/>
      <sz val="12"/>
    </font>
    <font>
      <name val="Arial"/>
      <b val="1"/>
      <sz val="11"/>
    </font>
    <font>
      <name val="Arial"/>
      <sz val="11"/>
    </font>
    <font>
      <name val="Arial"/>
      <color rgb="006B7280"/>
      <sz val="11"/>
    </font>
    <font>
      <name val="Arial"/>
      <color rgb="00FFFFFF"/>
      <sz val="8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8F0FC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9" fontId="0" fillId="2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  <xf numFmtId="3" fontId="4" fillId="0" borderId="0" pivotButton="0" quotePrefix="0" xfId="0"/>
    <xf numFmtId="10" fontId="4" fillId="4" borderId="0" pivotButton="0" quotePrefix="0" xfId="0"/>
    <xf numFmtId="0" fontId="4" fillId="4" borderId="0" pivotButton="0" quotePrefix="0" xfId="0"/>
    <xf numFmtId="0" fontId="6" fillId="0" borderId="0" pivotButton="0" quotePrefix="0" xfId="0"/>
    <xf numFmtId="164" fontId="4" fillId="4" borderId="0" pivotButton="0" quotePrefix="0" xfId="0"/>
    <xf numFmtId="165" fontId="4" fillId="4" borderId="0" pivotButton="0" quotePrefix="0" xfId="0"/>
    <xf numFmtId="166" fontId="4" fillId="4" borderId="0" pivotButton="0" quotePrefix="0" xfId="0"/>
    <xf numFmtId="165" fontId="0" fillId="4" borderId="0" pivotButton="0" quotePrefix="0" xfId="0"/>
    <xf numFmtId="10" fontId="4" fillId="2" borderId="0" pivotButton="0" quotePrefix="0" xfId="0"/>
    <xf numFmtId="167" fontId="4" fillId="2" borderId="0" pivotButton="0" quotePrefix="0" xfId="0"/>
    <xf numFmtId="3" fontId="4" fillId="4" borderId="0" pivotButton="0" quotePrefix="0" xfId="0"/>
    <xf numFmtId="1" fontId="4" fillId="2" borderId="0" pivotButton="0" quotePrefix="0" xfId="0"/>
    <xf numFmtId="3" fontId="4" fillId="2" borderId="0" pivotButton="0" quotePrefix="0" xfId="0"/>
    <xf numFmtId="1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pdm-skills</author>
  </authors>
  <commentList>
    <comment ref="A13" authorId="0" shapeId="0">
      <text>
        <t>The variant name. The first row is the control, the current version.</t>
      </text>
    </comment>
    <comment ref="B13" authorId="0" shapeId="0">
      <text>
        <t>How many units of split fell into the variant over the whole test.</t>
      </text>
    </comment>
    <comment ref="C13" authorId="0" shapeId="0">
      <text>
        <t>How many of them performed the target action of the primary metric.</t>
      </text>
    </comment>
    <comment ref="D13" authorId="0" shapeId="0">
      <text>
        <t>Calculated automatically: conversions / users.</t>
      </text>
    </comment>
    <comment ref="E13" authorId="0" shapeId="0">
      <text>
        <t>Calculated automatically: how much higher or lower the variant's conversion rate is than the control, as a percentage of the control.</t>
      </text>
    </comment>
    <comment ref="F13" authorId="0" shapeId="0">
      <text>
        <t>Calculated automatically: a two-sided two-proportion z-test against the control. Below α — the difference is significant.</t>
      </text>
    </comment>
    <comment ref="G13" authorId="0" shapeId="0">
      <text>
        <t>Calculated automatically: the lower bound of the confidence interval of the conversion difference, in percentage points. The level is 1 − α.</t>
      </text>
    </comment>
    <comment ref="H13" authorId="0" shapeId="0">
      <text>
        <t>Calculated automatically: the upper bound of the confidence interval of the conversion difference, in percentage points.</t>
      </text>
    </comment>
    <comment ref="I13" authorId="0" shapeId="0">
      <text>
        <t>Calculated automatically from α: "better than A", "worse than A" or "difference not proven". Decide by the rule in the plan.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2" customWidth="1" min="4" max="4"/>
    <col width="14" customWidth="1" min="5" max="5"/>
    <col width="11" customWidth="1" min="6" max="6"/>
    <col width="14" customWidth="1" min="7" max="7"/>
    <col width="14" customWidth="1" min="8" max="8"/>
    <col width="22" customWidth="1" min="9" max="9"/>
    <col width="4" customWidth="1" min="10" max="10"/>
  </cols>
  <sheetData>
    <row r="1">
      <c r="A1" s="1" t="inlineStr">
        <is>
          <t>A/B Testing: {{title: product, what is compared, test dates}}</t>
        </is>
      </c>
    </row>
    <row r="2">
      <c r="A2" s="2" t="inlineStr">
        <is>
          <t>Plan</t>
        </is>
      </c>
    </row>
    <row r="3" ht="30" customHeight="1">
      <c r="A3" s="3" t="inlineStr">
        <is>
          <t>Hypothesis</t>
        </is>
      </c>
      <c r="B3" s="4" t="inlineStr">
        <is>
          <t>{{hypothesis: expected change and its reason}}</t>
        </is>
      </c>
    </row>
    <row r="4" ht="30" customHeight="1">
      <c r="A4" s="3" t="inlineStr">
        <is>
          <t>Primary metric</t>
        </is>
      </c>
      <c r="B4" s="4" t="inlineStr">
        <is>
          <t>{{metric: primary metric the decision is based on}}</t>
        </is>
      </c>
    </row>
    <row r="5" ht="30" customHeight="1">
      <c r="A5" s="3" t="inlineStr">
        <is>
          <t>Guardrail metrics</t>
        </is>
      </c>
      <c r="B5" s="4" t="inlineStr">
        <is>
          <t>{{guardrails: metrics that must not get worse}}</t>
        </is>
      </c>
    </row>
    <row r="6" ht="30" customHeight="1">
      <c r="A6" s="3" t="inlineStr">
        <is>
          <t>Who is in the test</t>
        </is>
      </c>
      <c r="B6" s="4" t="inlineStr">
        <is>
          <t>{{audience: randomization unit, variant shares, exclusions}}</t>
        </is>
      </c>
    </row>
    <row r="7" ht="30" customHeight="1">
      <c r="A7" s="3" t="inlineStr">
        <is>
          <t>Duration and size</t>
        </is>
      </c>
      <c r="B7" s="4" t="inlineStr">
        <is>
          <t>{{duration: users and whole weeks of the test}}</t>
        </is>
      </c>
    </row>
    <row r="8" ht="30" customHeight="1">
      <c r="A8" s="3" t="inlineStr">
        <is>
          <t>Decision rule</t>
        </is>
      </c>
      <c r="B8" s="4" t="inlineStr">
        <is>
          <t>{{decision_rule: actions for better, worse and not proven}}</t>
        </is>
      </c>
    </row>
    <row r="10">
      <c r="A10" s="5" t="inlineStr">
        <is>
          <t>Significance level α</t>
        </is>
      </c>
      <c r="B10" s="6" t="n">
        <v>0.05</v>
      </c>
      <c r="C10" s="5" t="inlineStr">
        <is>
          <t>the probability of seeing a difference that is not there; usually 5%</t>
        </is>
      </c>
    </row>
    <row r="11">
      <c r="A11" s="5" t="inlineStr">
        <is>
          <t>Power 1 − β</t>
        </is>
      </c>
      <c r="B11" s="6" t="n">
        <v>0.8</v>
      </c>
      <c r="C11" s="5" t="inlineStr">
        <is>
          <t>the probability of noticing a difference if it exists; usually 80%</t>
        </is>
      </c>
    </row>
    <row r="12">
      <c r="A12" s="2" t="inlineStr">
        <is>
          <t>Results — the first row is always the control (A)</t>
        </is>
      </c>
    </row>
    <row r="13" ht="44" customHeight="1">
      <c r="A13" s="7" t="inlineStr">
        <is>
          <t>Variant</t>
        </is>
      </c>
      <c r="B13" s="7" t="inlineStr">
        <is>
          <t>Users</t>
        </is>
      </c>
      <c r="C13" s="7" t="inlineStr">
        <is>
          <t>Conversions</t>
        </is>
      </c>
      <c r="D13" s="7" t="inlineStr">
        <is>
          <t>Conversion rate</t>
        </is>
      </c>
      <c r="E13" s="7" t="inlineStr">
        <is>
          <t>Difference vs A, rel.</t>
        </is>
      </c>
      <c r="F13" s="7" t="inlineStr">
        <is>
          <t>p-value</t>
        </is>
      </c>
      <c r="G13" s="7" t="inlineStr">
        <is>
          <t>95% CI of difference, from</t>
        </is>
      </c>
      <c r="H13" s="7" t="inlineStr">
        <is>
          <t>95% CI of difference, to</t>
        </is>
      </c>
      <c r="I13" s="7" t="inlineStr">
        <is>
          <t>Conclusion</t>
        </is>
      </c>
    </row>
    <row r="14">
      <c r="A14" s="8" t="n"/>
      <c r="B14" s="9" t="n"/>
      <c r="C14" s="9" t="n"/>
      <c r="D14" s="10">
        <f>IF(OR(B14="",C14="",B14=0),"",C14/B14)</f>
        <v/>
      </c>
      <c r="E14" s="11" t="inlineStr"/>
      <c r="F14" s="11" t="inlineStr"/>
      <c r="G14" s="11" t="inlineStr"/>
      <c r="H14" s="11" t="inlineStr"/>
      <c r="I14" s="11">
        <f>IF(B14="","","control")</f>
        <v/>
      </c>
      <c r="J14" s="12">
        <f>IF(B14="","",(B14-SUM($B$14:$B$18)/COUNT($B$14:$B$18))^2/(SUM($B$14:$B$18)/COUNT($B$14:$B$18)))</f>
        <v/>
      </c>
    </row>
    <row r="15">
      <c r="A15" s="8" t="n"/>
      <c r="B15" s="9" t="n"/>
      <c r="C15" s="9" t="n"/>
      <c r="D15" s="10">
        <f>IF(OR(B15="",C15="",B15=0),"",C15/B15)</f>
        <v/>
      </c>
      <c r="E15" s="13">
        <f>IF(OR(OR(D15="",$D$14=""),$D$14=0),"",D15/$D$14-1)</f>
        <v/>
      </c>
      <c r="F15" s="14">
        <f>IF(OR(D15="",$D$14=""),"",2*(1-NORMSDIST(ABS(D15-$D$14)/SQRT(((C15+$C$14)/(B15+$B$14))*(1-(C15+$C$14)/(B15+$B$14))*(1/B15+1/$B$14)))))</f>
        <v/>
      </c>
      <c r="G15" s="15">
        <f>IF(OR(D15="",$D$14=""),"",D15-$D$14-NORMSINV(1-$B$10/2)*SQRT(D15*(1-D15)/B15+$D$14*(1-$D$14)/$B$14))</f>
        <v/>
      </c>
      <c r="H15" s="15">
        <f>IF(OR(D15="",$D$14=""),"",D15-$D$14+NORMSINV(1-$B$10/2)*SQRT(D15*(1-D15)/B15+$D$14*(1-$D$14)/$B$14))</f>
        <v/>
      </c>
      <c r="I15" s="11">
        <f>IF(F15="","",IF(F15&lt;$B$10,IF(D15&gt;$D$14,"better than A","worse than A"),"difference not proven"))</f>
        <v/>
      </c>
      <c r="J15" s="12">
        <f>IF(B15="","",(B15-SUM($B$14:$B$18)/COUNT($B$14:$B$18))^2/(SUM($B$14:$B$18)/COUNT($B$14:$B$18)))</f>
        <v/>
      </c>
    </row>
    <row r="16">
      <c r="A16" s="8" t="n"/>
      <c r="B16" s="9" t="n"/>
      <c r="C16" s="9" t="n"/>
      <c r="D16" s="10">
        <f>IF(OR(B16="",C16="",B16=0),"",C16/B16)</f>
        <v/>
      </c>
      <c r="E16" s="13">
        <f>IF(OR(OR(D16="",$D$14=""),$D$14=0),"",D16/$D$14-1)</f>
        <v/>
      </c>
      <c r="F16" s="14">
        <f>IF(OR(D16="",$D$14=""),"",2*(1-NORMSDIST(ABS(D16-$D$14)/SQRT(((C16+$C$14)/(B16+$B$14))*(1-(C16+$C$14)/(B16+$B$14))*(1/B16+1/$B$14)))))</f>
        <v/>
      </c>
      <c r="G16" s="15">
        <f>IF(OR(D16="",$D$14=""),"",D16-$D$14-NORMSINV(1-$B$10/2)*SQRT(D16*(1-D16)/B16+$D$14*(1-$D$14)/$B$14))</f>
        <v/>
      </c>
      <c r="H16" s="15">
        <f>IF(OR(D16="",$D$14=""),"",D16-$D$14+NORMSINV(1-$B$10/2)*SQRT(D16*(1-D16)/B16+$D$14*(1-$D$14)/$B$14))</f>
        <v/>
      </c>
      <c r="I16" s="11">
        <f>IF(F16="","",IF(F16&lt;$B$10,IF(D16&gt;$D$14,"better than A","worse than A"),"difference not proven"))</f>
        <v/>
      </c>
      <c r="J16" s="12">
        <f>IF(B16="","",(B16-SUM($B$14:$B$18)/COUNT($B$14:$B$18))^2/(SUM($B$14:$B$18)/COUNT($B$14:$B$18)))</f>
        <v/>
      </c>
    </row>
    <row r="17">
      <c r="A17" s="8" t="n"/>
      <c r="B17" s="9" t="n"/>
      <c r="C17" s="9" t="n"/>
      <c r="D17" s="10">
        <f>IF(OR(B17="",C17="",B17=0),"",C17/B17)</f>
        <v/>
      </c>
      <c r="E17" s="13">
        <f>IF(OR(OR(D17="",$D$14=""),$D$14=0),"",D17/$D$14-1)</f>
        <v/>
      </c>
      <c r="F17" s="14">
        <f>IF(OR(D17="",$D$14=""),"",2*(1-NORMSDIST(ABS(D17-$D$14)/SQRT(((C17+$C$14)/(B17+$B$14))*(1-(C17+$C$14)/(B17+$B$14))*(1/B17+1/$B$14)))))</f>
        <v/>
      </c>
      <c r="G17" s="15">
        <f>IF(OR(D17="",$D$14=""),"",D17-$D$14-NORMSINV(1-$B$10/2)*SQRT(D17*(1-D17)/B17+$D$14*(1-$D$14)/$B$14))</f>
        <v/>
      </c>
      <c r="H17" s="15">
        <f>IF(OR(D17="",$D$14=""),"",D17-$D$14+NORMSINV(1-$B$10/2)*SQRT(D17*(1-D17)/B17+$D$14*(1-$D$14)/$B$14))</f>
        <v/>
      </c>
      <c r="I17" s="11">
        <f>IF(F17="","",IF(F17&lt;$B$10,IF(D17&gt;$D$14,"better than A","worse than A"),"difference not proven"))</f>
        <v/>
      </c>
      <c r="J17" s="12">
        <f>IF(B17="","",(B17-SUM($B$14:$B$18)/COUNT($B$14:$B$18))^2/(SUM($B$14:$B$18)/COUNT($B$14:$B$18)))</f>
        <v/>
      </c>
    </row>
    <row r="18">
      <c r="A18" s="8" t="n"/>
      <c r="B18" s="9" t="n"/>
      <c r="C18" s="9" t="n"/>
      <c r="D18" s="10">
        <f>IF(OR(B18="",C18="",B18=0),"",C18/B18)</f>
        <v/>
      </c>
      <c r="E18" s="13">
        <f>IF(OR(OR(D18="",$D$14=""),$D$14=0),"",D18/$D$14-1)</f>
        <v/>
      </c>
      <c r="F18" s="14">
        <f>IF(OR(D18="",$D$14=""),"",2*(1-NORMSDIST(ABS(D18-$D$14)/SQRT(((C18+$C$14)/(B18+$B$14))*(1-(C18+$C$14)/(B18+$B$14))*(1/B18+1/$B$14)))))</f>
        <v/>
      </c>
      <c r="G18" s="15">
        <f>IF(OR(D18="",$D$14=""),"",D18-$D$14-NORMSINV(1-$B$10/2)*SQRT(D18*(1-D18)/B18+$D$14*(1-$D$14)/$B$14))</f>
        <v/>
      </c>
      <c r="H18" s="15">
        <f>IF(OR(D18="",$D$14=""),"",D18-$D$14+NORMSINV(1-$B$10/2)*SQRT(D18*(1-D18)/B18+$D$14*(1-$D$14)/$B$14))</f>
        <v/>
      </c>
      <c r="I18" s="11">
        <f>IF(F18="","",IF(F18&lt;$B$10,IF(D18&gt;$D$14,"better than A","worse than A"),"difference not proven"))</f>
        <v/>
      </c>
      <c r="J18" s="12">
        <f>IF(B18="","",(B18-SUM($B$14:$B$18)/COUNT($B$14:$B$18))^2/(SUM($B$14:$B$18)/COUNT($B$14:$B$18)))</f>
        <v/>
      </c>
    </row>
    <row r="19">
      <c r="A19" s="5" t="inlineStr">
        <is>
          <t>Split skew (SRM), p</t>
        </is>
      </c>
      <c r="B19" s="16">
        <f>IF(COUNT(B14:B18)&lt;2,"",CHIDIST(SUM(J14:J18),COUNT(B14:B18)-1))</f>
        <v/>
      </c>
      <c r="C19" s="5">
        <f>IF(B19="","",IF(B19&lt;0.001,"users were not split evenly — the results cannot be trusted, look for a split error","the split is fine (for equal shares)"))</f>
        <v/>
      </c>
    </row>
    <row r="21">
      <c r="A21" s="2" t="inlineStr">
        <is>
          <t>Sample size</t>
        </is>
      </c>
    </row>
    <row r="22">
      <c r="A22" s="5" t="inlineStr">
        <is>
          <t>Baseline conversion</t>
        </is>
      </c>
      <c r="B22" s="17" t="inlineStr">
        <is>
          <t>{{baseline: current conversion of the primary metric}}</t>
        </is>
      </c>
    </row>
    <row r="23">
      <c r="A23" s="5" t="inlineStr">
        <is>
          <t>Minimum detectable effect, rel.</t>
        </is>
      </c>
      <c r="B23" s="18" t="inlineStr">
        <is>
          <t>{{mde: difference to detect, % of baseline}}</t>
        </is>
      </c>
    </row>
    <row r="24">
      <c r="A24" s="5" t="inlineStr">
        <is>
          <t>Needed per variant</t>
        </is>
      </c>
      <c r="B24" s="19">
        <f>IF(OR(B22="",B23="",ISTEXT(B22),ISTEXT(B23)),"",ROUNDUP((NORMSINV(1-B10/2)+NORMSINV(B11))^2*(B22*(1-B22)+B22*(1+B23)*(1-B22*(1+B23)))/(B22*B23)^2,0))</f>
        <v/>
      </c>
    </row>
    <row r="25">
      <c r="A25" s="5" t="inlineStr">
        <is>
          <t>Variants in the test</t>
        </is>
      </c>
      <c r="B25" s="20" t="n">
        <v>2</v>
      </c>
    </row>
    <row r="26">
      <c r="A26" s="5" t="inlineStr">
        <is>
          <t>Users per day, total</t>
        </is>
      </c>
      <c r="B26" s="21" t="inlineStr">
        <is>
          <t>{{daily: randomization units entering per day}}</t>
        </is>
      </c>
    </row>
    <row r="27">
      <c r="A27" s="5" t="inlineStr">
        <is>
          <t>Days</t>
        </is>
      </c>
      <c r="B27" s="22">
        <f>IF(OR(B24="",B26="",ISTEXT(B26)),"",ROUNDUP(B24*B25/B26,0))</f>
        <v/>
      </c>
    </row>
    <row r="28">
      <c r="A28" s="5" t="inlineStr">
        <is>
          <t>Whole weeks</t>
        </is>
      </c>
      <c r="B28" s="22">
        <f>IF(B27="","",MAX(1,ROUNDUP(B27/7,0)))</f>
        <v/>
      </c>
      <c r="C28" s="5" t="inlineStr">
        <is>
          <t>the test runs for whole weeks: weekday and weekend behaviour differ</t>
        </is>
      </c>
    </row>
  </sheetData>
  <mergeCells count="7">
    <mergeCell ref="B7:I7"/>
    <mergeCell ref="B6:I6"/>
    <mergeCell ref="A1:I1"/>
    <mergeCell ref="B3:I3"/>
    <mergeCell ref="B5:I5"/>
    <mergeCell ref="B8:I8"/>
    <mergeCell ref="B4:I4"/>
  </mergeCells>
  <dataValidations count="2">
    <dataValidation sqref="B10" showDropDown="0" showInputMessage="0" showErrorMessage="1" allowBlank="1" error="α — from 0.1% to 20%" type="decimal" errorStyle="warning" operator="between">
      <formula1>0.001</formula1>
      <formula2>0.2</formula2>
    </dataValidation>
    <dataValidation sqref="B11" showDropDown="0" showInputMessage="0" showErrorMessage="1" allowBlank="1" error="Power — from 50% to 99%" type="decimal" errorStyle="warning" operator="between">
      <formula1>0.5</formula1>
      <formula2>0.99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2026-10-22T07:06:48Z</dcterms:created>
  <dcterms:modified xmlns:dcterms="http://purl.org/dc/terms/" xmlns:xsi="http://www.w3.org/2001/XMLSchema-instance" xsi:type="dcterms:W3CDTF">2026-10-22T07:06:48Z</dcterms:modified>
</cp:coreProperties>
</file>