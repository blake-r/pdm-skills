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A" sheetId="1" state="visible" r:id="rId1"/>
  </sheets>
  <definedNames>
    <definedName name="data_start">'A-A'!$A$25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"/>
    <numFmt numFmtId="167" formatCode="+0.0%;-0.0%;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2F6FDE"/>
      <sz val="12"/>
    </font>
    <font>
      <name val="Arial"/>
      <b val="1"/>
      <sz val="11"/>
    </font>
    <font>
      <name val="Arial"/>
      <sz val="11"/>
    </font>
    <font>
      <name val="Arial"/>
      <color rgb="006B7280"/>
      <sz val="11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3F4F6"/>
      </patternFill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9" fontId="0" fillId="2" borderId="0" pivotButton="0" quotePrefix="0" xfId="0"/>
    <xf numFmtId="1" fontId="4" fillId="3" borderId="0" pivotButton="0" quotePrefix="0" xfId="0"/>
    <xf numFmtId="166" fontId="4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5" fillId="0" borderId="0" applyAlignment="1" pivotButton="0" quotePrefix="0" xfId="0">
      <alignment horizontal="left"/>
    </xf>
    <xf numFmtId="165" fontId="4" fillId="3" borderId="0" pivotButton="0" quotePrefix="0" xfId="0"/>
    <xf numFmtId="0" fontId="3" fillId="0" borderId="0" applyAlignment="1" pivotButton="0" quotePrefix="0" xfId="0">
      <alignment horizontal="left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3" fontId="4" fillId="0" borderId="0" pivotButton="0" quotePrefix="0" xfId="0"/>
    <xf numFmtId="10" fontId="4" fillId="3" borderId="0" pivotButton="0" quotePrefix="0" xfId="0"/>
    <xf numFmtId="167" fontId="4" fillId="3" borderId="0" pivotButton="0" quotePrefix="0" xfId="0"/>
    <xf numFmtId="0" fontId="4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p-values by bin: with a healthy system the bars are roughly equal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'A-A'!O13</f>
            </strRef>
          </tx>
          <spPr>
            <a:ln xmlns:a="http://schemas.openxmlformats.org/drawingml/2006/main">
              <a:prstDash val="solid"/>
            </a:ln>
          </spPr>
          <cat>
            <numRef>
              <f>'A-A'!$N$14:$N$23</f>
            </numRef>
          </cat>
          <val>
            <numRef>
              <f>'A-A'!$O$14:$O$23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p-value from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pdm-skills</author>
  </authors>
  <commentList>
    <comment ref="A24" authorId="0" shapeId="0">
      <text>
        <t>The name or date of the run. One row for a single test.</t>
      </text>
    </comment>
    <comment ref="B24" authorId="0" shapeId="0">
      <text>
        <t>How many units of split fell into group A.</t>
      </text>
    </comment>
    <comment ref="C24" authorId="0" shapeId="0">
      <text>
        <t>How many of them performed the target action.</t>
      </text>
    </comment>
    <comment ref="D24" authorId="0" shapeId="0">
      <text>
        <t>How many units of split fell into group B.</t>
      </text>
    </comment>
    <comment ref="E24" authorId="0" shapeId="0">
      <text>
        <t>How many of them performed the target action.</t>
      </text>
    </comment>
    <comment ref="F24" authorId="0" shapeId="0">
      <text>
        <t>Calculated automatically.</t>
      </text>
    </comment>
    <comment ref="G24" authorId="0" shapeId="0">
      <text>
        <t>Calculated automatically.</t>
      </text>
    </comment>
    <comment ref="H24" authorId="0" shapeId="0">
      <text>
        <t>Calculated automatically. The groups see the same thing, so the difference is only noise.</t>
      </text>
    </comment>
    <comment ref="I24" authorId="0" shapeId="0">
      <text>
        <t>Calculated automatically: a two-sided two-proportion z-test. Below α in about α of runs is normal.</t>
      </text>
    </comment>
    <comment ref="J24" authorId="0" shapeId="0">
      <text>
        <t>Calculated automatically: whether the share of A matches the planned one. Below 0.001 — split skew, a system error.</t>
      </text>
    </comment>
    <comment ref="K24" authorId="0" shapeId="0">
      <text>
        <t>Calculated automatically: "split skew", "significant — false positive" or "no difference".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3" customWidth="1" min="4" max="4"/>
    <col width="12" customWidth="1" min="5" max="5"/>
    <col width="11" customWidth="1" min="6" max="6"/>
    <col width="11" customWidth="1" min="7" max="7"/>
    <col width="13" customWidth="1" min="8" max="8"/>
    <col width="10" customWidth="1" min="9" max="9"/>
    <col width="11" customWidth="1" min="10" max="10"/>
    <col width="32" customWidth="1" min="11" max="11"/>
    <col width="6" customWidth="1" min="14" max="14"/>
    <col width="10" customWidth="1" min="15" max="15"/>
  </cols>
  <sheetData>
    <row r="1">
      <c r="A1" s="1" t="inlineStr">
        <is>
          <t>A/A Testing: {{title: product, what is being checked, dates}}</t>
        </is>
      </c>
    </row>
    <row r="2">
      <c r="A2" s="2" t="inlineStr">
        <is>
          <t>Plan</t>
        </is>
      </c>
    </row>
    <row r="3" ht="30" customHeight="1">
      <c r="A3" s="3" t="inlineStr">
        <is>
          <t>What we check</t>
        </is>
      </c>
      <c r="B3" s="4" t="inlineStr">
        <is>
          <t>{{goal: what is checked and what changed}}</t>
        </is>
      </c>
    </row>
    <row r="4" ht="30" customHeight="1">
      <c r="A4" s="3" t="inlineStr">
        <is>
          <t>Metric</t>
        </is>
      </c>
      <c r="B4" s="4" t="inlineStr">
        <is>
          <t>{{metric: metric compared in the runs}}</t>
        </is>
      </c>
    </row>
    <row r="5" ht="30" customHeight="1">
      <c r="A5" s="3" t="inlineStr">
        <is>
          <t>Who is in the test</t>
        </is>
      </c>
      <c r="B5" s="4" t="inlineStr">
        <is>
          <t>{{audience: randomization unit, group shares, exclusions}}</t>
        </is>
      </c>
    </row>
    <row r="6" ht="30" customHeight="1">
      <c r="A6" s="3" t="inlineStr">
        <is>
          <t>Runs</t>
        </is>
      </c>
      <c r="B6" s="4" t="inlineStr">
        <is>
          <t>{{runs: number of runs and duration of each}}</t>
        </is>
      </c>
    </row>
    <row r="7" ht="30" customHeight="1">
      <c r="A7" s="3" t="inlineStr">
        <is>
          <t>Decision rule</t>
        </is>
      </c>
      <c r="B7" s="4" t="inlineStr">
        <is>
          <t>{{decision_rule: actions for too many significant runs or skewed split}}</t>
        </is>
      </c>
    </row>
    <row r="9">
      <c r="A9" s="5" t="inlineStr">
        <is>
          <t>Significance level α</t>
        </is>
      </c>
      <c r="B9" s="6" t="n">
        <v>0.05</v>
      </c>
      <c r="C9" s="5" t="inlineStr">
        <is>
          <t>the same level as in future tests; usually 5%</t>
        </is>
      </c>
    </row>
    <row r="10">
      <c r="A10" s="5" t="inlineStr">
        <is>
          <t>Planned share of group A</t>
        </is>
      </c>
      <c r="B10" s="6" t="n">
        <v>0.5</v>
      </c>
      <c r="C10" s="5" t="inlineStr">
        <is>
          <t>the share of users the system should send to A</t>
        </is>
      </c>
    </row>
    <row r="12">
      <c r="A12" s="2" t="inlineStr">
        <is>
          <t>Summary across all runs</t>
        </is>
      </c>
      <c r="N12" s="2" t="inlineStr">
        <is>
          <t>p-value histogram</t>
        </is>
      </c>
    </row>
    <row r="13">
      <c r="A13" s="5" t="inlineStr">
        <is>
          <t>Runs</t>
        </is>
      </c>
      <c r="B13" s="7">
        <f>COUNT(I25:I1000)</f>
        <v/>
      </c>
      <c r="N13" s="3" t="inlineStr">
        <is>
          <t>from</t>
        </is>
      </c>
      <c r="O13" s="3" t="inlineStr">
        <is>
          <t>runs</t>
        </is>
      </c>
    </row>
    <row r="14">
      <c r="A14" s="5" t="inlineStr">
        <is>
          <t>Significant at α</t>
        </is>
      </c>
      <c r="B14" s="7">
        <f>SUMPRODUCT(ISNUMBER(I25:I1000)*(I25:I1000&lt;B9))</f>
        <v/>
      </c>
      <c r="N14" s="8" t="n">
        <v>0</v>
      </c>
      <c r="O14" s="9">
        <f>SUMPRODUCT(ISNUMBER(I25:I1000)*(I25:I1000&gt;=N14)*(I25:I1000&lt;N14+0.1))</f>
        <v/>
      </c>
    </row>
    <row r="15">
      <c r="A15" s="5" t="inlineStr">
        <is>
          <t>Share significant</t>
        </is>
      </c>
      <c r="B15" s="10">
        <f>IF(B13=0,"",B14/B13)</f>
        <v/>
      </c>
      <c r="C15" s="11">
        <f>IF(B15="","","expected about "&amp;TEXT(B9,"0%"))</f>
        <v/>
      </c>
      <c r="N15" s="8" t="n">
        <v>0.1</v>
      </c>
      <c r="O15" s="9">
        <f>SUMPRODUCT(ISNUMBER(I25:I1000)*(I25:I1000&gt;=N15)*(I25:I1000&lt;N15+0.1))</f>
        <v/>
      </c>
    </row>
    <row r="16">
      <c r="A16" s="5" t="inlineStr">
        <is>
          <t>p that this many significant results are chance</t>
        </is>
      </c>
      <c r="B16" s="12">
        <f>IF(B13=0,"",IF(B14=0,1,1-BINOMDIST(B14-1,B13,B9,TRUE)))</f>
        <v/>
      </c>
      <c r="C16" s="11">
        <f>IF(B16="","",IF(B16&lt;0.05,"more significant results than chance gives — look for an error in the split, the metric or the calculation","within chance"))</f>
        <v/>
      </c>
      <c r="N16" s="8" t="n">
        <v>0.2</v>
      </c>
      <c r="O16" s="9">
        <f>SUMPRODUCT(ISNUMBER(I25:I1000)*(I25:I1000&gt;=N16)*(I25:I1000&lt;N16+0.1))</f>
        <v/>
      </c>
    </row>
    <row r="17">
      <c r="A17" s="5" t="inlineStr">
        <is>
          <t>Runs with split skew</t>
        </is>
      </c>
      <c r="B17" s="7">
        <f>SUMPRODUCT(ISNUMBER(J25:J1000)*(J25:J1000&lt;0.001))</f>
        <v/>
      </c>
      <c r="C17" s="11">
        <f>IF(B13=0,"",IF(B17=0,"the split is fine",IF(1-BINOMDIST(B17-1,B13,0.001,TRUE)&lt;0.01,"more skews than chance gives — look for a split error","a single skew in the series — within chance")))</f>
        <v/>
      </c>
      <c r="N17" s="8" t="n">
        <v>0.3</v>
      </c>
      <c r="O17" s="9">
        <f>SUMPRODUCT(ISNUMBER(I25:I1000)*(I25:I1000&gt;=N17)*(I25:I1000&lt;N17+0.1))</f>
        <v/>
      </c>
    </row>
    <row r="18">
      <c r="A18" s="5" t="inlineStr">
        <is>
          <t>Uniformity of p-values, p</t>
        </is>
      </c>
      <c r="B18" s="12">
        <f>IF(B13&lt;20,"",CHIDIST(SUMPRODUCT((O14:O23-B13/10)^2)/(B13/10),9))</f>
        <v/>
      </c>
      <c r="C18" s="11">
        <f>IF(B13&lt;20,"at least 20 runs are needed, 100 is better",IF(B18&lt;0.01,"the p-values are not uniformly distributed — the significance calculation does not suit the metric","the p-values are uniformly distributed"))</f>
        <v/>
      </c>
      <c r="N18" s="8" t="n">
        <v>0.4</v>
      </c>
      <c r="O18" s="9">
        <f>SUMPRODUCT(ISNUMBER(I25:I1000)*(I25:I1000&gt;=N18)*(I25:I1000&lt;N18+0.1))</f>
        <v/>
      </c>
    </row>
    <row r="19">
      <c r="N19" s="8" t="n">
        <v>0.5</v>
      </c>
      <c r="O19" s="9">
        <f>SUMPRODUCT(ISNUMBER(I25:I1000)*(I25:I1000&gt;=N19)*(I25:I1000&lt;N19+0.1))</f>
        <v/>
      </c>
    </row>
    <row r="20">
      <c r="A20" s="3" t="inlineStr">
        <is>
          <t>Conclusion</t>
        </is>
      </c>
      <c r="B20" s="13">
        <f>IF(B13=0,"",IF(OR(AND(B17&gt;0,1-BINOMDIST(MAX(B17,1)-1,B13,0.001,TRUE)&lt;0.01),AND(B16&lt;&gt;"",B16&lt;0.05),AND(B18&lt;&gt;"",B18&lt;0.01)),"the system is wrong — do not trust tests until it is fixed",IF(B13&lt;20,"no errors visible, but too few runs","the system is fine — tests can be launched")))</f>
        <v/>
      </c>
      <c r="N20" s="8" t="n">
        <v>0.6</v>
      </c>
      <c r="O20" s="9">
        <f>SUMPRODUCT(ISNUMBER(I25:I1000)*(I25:I1000&gt;=N20)*(I25:I1000&lt;N20+0.1))</f>
        <v/>
      </c>
    </row>
    <row r="21">
      <c r="N21" s="8" t="n">
        <v>0.7</v>
      </c>
      <c r="O21" s="9">
        <f>SUMPRODUCT(ISNUMBER(I25:I1000)*(I25:I1000&gt;=N21)*(I25:I1000&lt;N21+0.1))</f>
        <v/>
      </c>
    </row>
    <row r="22">
      <c r="N22" s="8" t="n">
        <v>0.8</v>
      </c>
      <c r="O22" s="9">
        <f>SUMPRODUCT(ISNUMBER(I25:I1000)*(I25:I1000&gt;=N22)*(I25:I1000&lt;N22+0.1))</f>
        <v/>
      </c>
    </row>
    <row r="23">
      <c r="A23" s="2" t="inlineStr">
        <is>
          <t>Runs — one row per test or re-split</t>
        </is>
      </c>
      <c r="N23" s="8" t="n">
        <v>0.9</v>
      </c>
      <c r="O23" s="9">
        <f>SUMPRODUCT(ISNUMBER(I25:I1000)*(I25:I1000&gt;=N23)*(I25:I1000&lt;=N23+0.1))</f>
        <v/>
      </c>
    </row>
    <row r="24" ht="44" customHeight="1">
      <c r="A24" s="14" t="inlineStr">
        <is>
          <t>Run</t>
        </is>
      </c>
      <c r="B24" s="14" t="inlineStr">
        <is>
          <t>Users A</t>
        </is>
      </c>
      <c r="C24" s="14" t="inlineStr">
        <is>
          <t>Conversions A</t>
        </is>
      </c>
      <c r="D24" s="14" t="inlineStr">
        <is>
          <t>Users B</t>
        </is>
      </c>
      <c r="E24" s="14" t="inlineStr">
        <is>
          <t>Conversions B</t>
        </is>
      </c>
      <c r="F24" s="14" t="inlineStr">
        <is>
          <t>Conversion rate A</t>
        </is>
      </c>
      <c r="G24" s="14" t="inlineStr">
        <is>
          <t>Conversion rate B</t>
        </is>
      </c>
      <c r="H24" s="14" t="inlineStr">
        <is>
          <t>Difference B vs A, rel.</t>
        </is>
      </c>
      <c r="I24" s="14" t="inlineStr">
        <is>
          <t>p-value</t>
        </is>
      </c>
      <c r="J24" s="14" t="inlineStr">
        <is>
          <t>Split, p</t>
        </is>
      </c>
      <c r="K24" s="14" t="inlineStr">
        <is>
          <t>Conclusion</t>
        </is>
      </c>
    </row>
    <row r="25">
      <c r="A25" s="15" t="n"/>
      <c r="B25" s="16" t="n"/>
      <c r="C25" s="16" t="n"/>
      <c r="D25" s="16" t="n"/>
      <c r="E25" s="16" t="n"/>
      <c r="F25" s="17">
        <f>IF(OR(B25="",C25="",D25="",E25="",B25=0,D25=0),"",C25/B25)</f>
        <v/>
      </c>
      <c r="G25" s="17">
        <f>IF(OR(B25="",C25="",D25="",E25="",B25=0,D25=0),"",E25/D25)</f>
        <v/>
      </c>
      <c r="H25" s="18">
        <f>IF(OR(OR(B25="",C25="",D25="",E25="",B25=0,D25=0),C25=0),"",G25/F25-1)</f>
        <v/>
      </c>
      <c r="I25" s="12">
        <f>IF(OR(OR(B25="",C25="",D25="",E25="",B25=0,D25=0),C25+E25=0,C25+E25=B25+D25),"",2*(1-NORMSDIST(ABS(G25-F25)/SQRT((C25+E25)/(B25+D25)*(1-(C25+E25)/(B25+D25))*(1/B25+1/D25)))))</f>
        <v/>
      </c>
      <c r="J25" s="12">
        <f>IF(OR(B25="",D25="",B25+D25=0),"",2*(1-NORMSDIST(ABS(B25-(B25+D25)*$B$10)/SQRT((B25+D25)*$B$10*(1-$B$10)))))</f>
        <v/>
      </c>
      <c r="K25" s="19">
        <f>IF(J25="","",IF(J25&lt;0.001,"split skew",IF(I25="","",IF(I25&lt;$B$9,"significant — false positive","no difference"))))</f>
        <v/>
      </c>
    </row>
    <row r="26">
      <c r="A26" s="15" t="n"/>
      <c r="B26" s="16" t="n"/>
      <c r="C26" s="16" t="n"/>
      <c r="D26" s="16" t="n"/>
      <c r="E26" s="16" t="n"/>
      <c r="F26" s="17">
        <f>IF(OR(B26="",C26="",D26="",E26="",B26=0,D26=0),"",C26/B26)</f>
        <v/>
      </c>
      <c r="G26" s="17">
        <f>IF(OR(B26="",C26="",D26="",E26="",B26=0,D26=0),"",E26/D26)</f>
        <v/>
      </c>
      <c r="H26" s="18">
        <f>IF(OR(OR(B26="",C26="",D26="",E26="",B26=0,D26=0),C26=0),"",G26/F26-1)</f>
        <v/>
      </c>
      <c r="I26" s="12">
        <f>IF(OR(OR(B26="",C26="",D26="",E26="",B26=0,D26=0),C26+E26=0,C26+E26=B26+D26),"",2*(1-NORMSDIST(ABS(G26-F26)/SQRT((C26+E26)/(B26+D26)*(1-(C26+E26)/(B26+D26))*(1/B26+1/D26)))))</f>
        <v/>
      </c>
      <c r="J26" s="12">
        <f>IF(OR(B26="",D26="",B26+D26=0),"",2*(1-NORMSDIST(ABS(B26-(B26+D26)*$B$10)/SQRT((B26+D26)*$B$10*(1-$B$10)))))</f>
        <v/>
      </c>
      <c r="K26" s="19">
        <f>IF(J26="","",IF(J26&lt;0.001,"split skew",IF(I26="","",IF(I26&lt;$B$9,"significant — false positive","no difference"))))</f>
        <v/>
      </c>
    </row>
    <row r="27">
      <c r="A27" s="15" t="n"/>
      <c r="B27" s="16" t="n"/>
      <c r="C27" s="16" t="n"/>
      <c r="D27" s="16" t="n"/>
      <c r="E27" s="16" t="n"/>
      <c r="F27" s="17">
        <f>IF(OR(B27="",C27="",D27="",E27="",B27=0,D27=0),"",C27/B27)</f>
        <v/>
      </c>
      <c r="G27" s="17">
        <f>IF(OR(B27="",C27="",D27="",E27="",B27=0,D27=0),"",E27/D27)</f>
        <v/>
      </c>
      <c r="H27" s="18">
        <f>IF(OR(OR(B27="",C27="",D27="",E27="",B27=0,D27=0),C27=0),"",G27/F27-1)</f>
        <v/>
      </c>
      <c r="I27" s="12">
        <f>IF(OR(OR(B27="",C27="",D27="",E27="",B27=0,D27=0),C27+E27=0,C27+E27=B27+D27),"",2*(1-NORMSDIST(ABS(G27-F27)/SQRT((C27+E27)/(B27+D27)*(1-(C27+E27)/(B27+D27))*(1/B27+1/D27)))))</f>
        <v/>
      </c>
      <c r="J27" s="12">
        <f>IF(OR(B27="",D27="",B27+D27=0),"",2*(1-NORMSDIST(ABS(B27-(B27+D27)*$B$10)/SQRT((B27+D27)*$B$10*(1-$B$10)))))</f>
        <v/>
      </c>
      <c r="K27" s="19">
        <f>IF(J27="","",IF(J27&lt;0.001,"split skew",IF(I27="","",IF(I27&lt;$B$9,"significant — false positive","no difference"))))</f>
        <v/>
      </c>
    </row>
    <row r="28">
      <c r="A28" s="15" t="n"/>
      <c r="B28" s="16" t="n"/>
      <c r="C28" s="16" t="n"/>
      <c r="D28" s="16" t="n"/>
      <c r="E28" s="16" t="n"/>
      <c r="F28" s="17">
        <f>IF(OR(B28="",C28="",D28="",E28="",B28=0,D28=0),"",C28/B28)</f>
        <v/>
      </c>
      <c r="G28" s="17">
        <f>IF(OR(B28="",C28="",D28="",E28="",B28=0,D28=0),"",E28/D28)</f>
        <v/>
      </c>
      <c r="H28" s="18">
        <f>IF(OR(OR(B28="",C28="",D28="",E28="",B28=0,D28=0),C28=0),"",G28/F28-1)</f>
        <v/>
      </c>
      <c r="I28" s="12">
        <f>IF(OR(OR(B28="",C28="",D28="",E28="",B28=0,D28=0),C28+E28=0,C28+E28=B28+D28),"",2*(1-NORMSDIST(ABS(G28-F28)/SQRT((C28+E28)/(B28+D28)*(1-(C28+E28)/(B28+D28))*(1/B28+1/D28)))))</f>
        <v/>
      </c>
      <c r="J28" s="12">
        <f>IF(OR(B28="",D28="",B28+D28=0),"",2*(1-NORMSDIST(ABS(B28-(B28+D28)*$B$10)/SQRT((B28+D28)*$B$10*(1-$B$10)))))</f>
        <v/>
      </c>
      <c r="K28" s="19">
        <f>IF(J28="","",IF(J28&lt;0.001,"split skew",IF(I28="","",IF(I28&lt;$B$9,"significant — false positive","no difference"))))</f>
        <v/>
      </c>
    </row>
    <row r="29">
      <c r="A29" s="15" t="n"/>
      <c r="B29" s="16" t="n"/>
      <c r="C29" s="16" t="n"/>
      <c r="D29" s="16" t="n"/>
      <c r="E29" s="16" t="n"/>
      <c r="F29" s="17">
        <f>IF(OR(B29="",C29="",D29="",E29="",B29=0,D29=0),"",C29/B29)</f>
        <v/>
      </c>
      <c r="G29" s="17">
        <f>IF(OR(B29="",C29="",D29="",E29="",B29=0,D29=0),"",E29/D29)</f>
        <v/>
      </c>
      <c r="H29" s="18">
        <f>IF(OR(OR(B29="",C29="",D29="",E29="",B29=0,D29=0),C29=0),"",G29/F29-1)</f>
        <v/>
      </c>
      <c r="I29" s="12">
        <f>IF(OR(OR(B29="",C29="",D29="",E29="",B29=0,D29=0),C29+E29=0,C29+E29=B29+D29),"",2*(1-NORMSDIST(ABS(G29-F29)/SQRT((C29+E29)/(B29+D29)*(1-(C29+E29)/(B29+D29))*(1/B29+1/D29)))))</f>
        <v/>
      </c>
      <c r="J29" s="12">
        <f>IF(OR(B29="",D29="",B29+D29=0),"",2*(1-NORMSDIST(ABS(B29-(B29+D29)*$B$10)/SQRT((B29+D29)*$B$10*(1-$B$10)))))</f>
        <v/>
      </c>
      <c r="K29" s="19">
        <f>IF(J29="","",IF(J29&lt;0.001,"split skew",IF(I29="","",IF(I29&lt;$B$9,"significant — false positive","no difference"))))</f>
        <v/>
      </c>
    </row>
    <row r="30">
      <c r="A30" s="15" t="n"/>
      <c r="B30" s="16" t="n"/>
      <c r="C30" s="16" t="n"/>
      <c r="D30" s="16" t="n"/>
      <c r="E30" s="16" t="n"/>
      <c r="F30" s="17">
        <f>IF(OR(B30="",C30="",D30="",E30="",B30=0,D30=0),"",C30/B30)</f>
        <v/>
      </c>
      <c r="G30" s="17">
        <f>IF(OR(B30="",C30="",D30="",E30="",B30=0,D30=0),"",E30/D30)</f>
        <v/>
      </c>
      <c r="H30" s="18">
        <f>IF(OR(OR(B30="",C30="",D30="",E30="",B30=0,D30=0),C30=0),"",G30/F30-1)</f>
        <v/>
      </c>
      <c r="I30" s="12">
        <f>IF(OR(OR(B30="",C30="",D30="",E30="",B30=0,D30=0),C30+E30=0,C30+E30=B30+D30),"",2*(1-NORMSDIST(ABS(G30-F30)/SQRT((C30+E30)/(B30+D30)*(1-(C30+E30)/(B30+D30))*(1/B30+1/D30)))))</f>
        <v/>
      </c>
      <c r="J30" s="12">
        <f>IF(OR(B30="",D30="",B30+D30=0),"",2*(1-NORMSDIST(ABS(B30-(B30+D30)*$B$10)/SQRT((B30+D30)*$B$10*(1-$B$10)))))</f>
        <v/>
      </c>
      <c r="K30" s="19">
        <f>IF(J30="","",IF(J30&lt;0.001,"split skew",IF(I30="","",IF(I30&lt;$B$9,"significant — false positive","no difference"))))</f>
        <v/>
      </c>
    </row>
    <row r="31">
      <c r="A31" s="15" t="n"/>
      <c r="B31" s="16" t="n"/>
      <c r="C31" s="16" t="n"/>
      <c r="D31" s="16" t="n"/>
      <c r="E31" s="16" t="n"/>
      <c r="F31" s="17">
        <f>IF(OR(B31="",C31="",D31="",E31="",B31=0,D31=0),"",C31/B31)</f>
        <v/>
      </c>
      <c r="G31" s="17">
        <f>IF(OR(B31="",C31="",D31="",E31="",B31=0,D31=0),"",E31/D31)</f>
        <v/>
      </c>
      <c r="H31" s="18">
        <f>IF(OR(OR(B31="",C31="",D31="",E31="",B31=0,D31=0),C31=0),"",G31/F31-1)</f>
        <v/>
      </c>
      <c r="I31" s="12">
        <f>IF(OR(OR(B31="",C31="",D31="",E31="",B31=0,D31=0),C31+E31=0,C31+E31=B31+D31),"",2*(1-NORMSDIST(ABS(G31-F31)/SQRT((C31+E31)/(B31+D31)*(1-(C31+E31)/(B31+D31))*(1/B31+1/D31)))))</f>
        <v/>
      </c>
      <c r="J31" s="12">
        <f>IF(OR(B31="",D31="",B31+D31=0),"",2*(1-NORMSDIST(ABS(B31-(B31+D31)*$B$10)/SQRT((B31+D31)*$B$10*(1-$B$10)))))</f>
        <v/>
      </c>
      <c r="K31" s="19">
        <f>IF(J31="","",IF(J31&lt;0.001,"split skew",IF(I31="","",IF(I31&lt;$B$9,"significant — false positive","no difference"))))</f>
        <v/>
      </c>
    </row>
    <row r="32">
      <c r="A32" s="15" t="n"/>
      <c r="B32" s="16" t="n"/>
      <c r="C32" s="16" t="n"/>
      <c r="D32" s="16" t="n"/>
      <c r="E32" s="16" t="n"/>
      <c r="F32" s="17">
        <f>IF(OR(B32="",C32="",D32="",E32="",B32=0,D32=0),"",C32/B32)</f>
        <v/>
      </c>
      <c r="G32" s="17">
        <f>IF(OR(B32="",C32="",D32="",E32="",B32=0,D32=0),"",E32/D32)</f>
        <v/>
      </c>
      <c r="H32" s="18">
        <f>IF(OR(OR(B32="",C32="",D32="",E32="",B32=0,D32=0),C32=0),"",G32/F32-1)</f>
        <v/>
      </c>
      <c r="I32" s="12">
        <f>IF(OR(OR(B32="",C32="",D32="",E32="",B32=0,D32=0),C32+E32=0,C32+E32=B32+D32),"",2*(1-NORMSDIST(ABS(G32-F32)/SQRT((C32+E32)/(B32+D32)*(1-(C32+E32)/(B32+D32))*(1/B32+1/D32)))))</f>
        <v/>
      </c>
      <c r="J32" s="12">
        <f>IF(OR(B32="",D32="",B32+D32=0),"",2*(1-NORMSDIST(ABS(B32-(B32+D32)*$B$10)/SQRT((B32+D32)*$B$10*(1-$B$10)))))</f>
        <v/>
      </c>
      <c r="K32" s="19">
        <f>IF(J32="","",IF(J32&lt;0.001,"split skew",IF(I32="","",IF(I32&lt;$B$9,"significant — false positive","no difference"))))</f>
        <v/>
      </c>
    </row>
    <row r="33">
      <c r="A33" s="15" t="n"/>
      <c r="B33" s="16" t="n"/>
      <c r="C33" s="16" t="n"/>
      <c r="D33" s="16" t="n"/>
      <c r="E33" s="16" t="n"/>
      <c r="F33" s="17">
        <f>IF(OR(B33="",C33="",D33="",E33="",B33=0,D33=0),"",C33/B33)</f>
        <v/>
      </c>
      <c r="G33" s="17">
        <f>IF(OR(B33="",C33="",D33="",E33="",B33=0,D33=0),"",E33/D33)</f>
        <v/>
      </c>
      <c r="H33" s="18">
        <f>IF(OR(OR(B33="",C33="",D33="",E33="",B33=0,D33=0),C33=0),"",G33/F33-1)</f>
        <v/>
      </c>
      <c r="I33" s="12">
        <f>IF(OR(OR(B33="",C33="",D33="",E33="",B33=0,D33=0),C33+E33=0,C33+E33=B33+D33),"",2*(1-NORMSDIST(ABS(G33-F33)/SQRT((C33+E33)/(B33+D33)*(1-(C33+E33)/(B33+D33))*(1/B33+1/D33)))))</f>
        <v/>
      </c>
      <c r="J33" s="12">
        <f>IF(OR(B33="",D33="",B33+D33=0),"",2*(1-NORMSDIST(ABS(B33-(B33+D33)*$B$10)/SQRT((B33+D33)*$B$10*(1-$B$10)))))</f>
        <v/>
      </c>
      <c r="K33" s="19">
        <f>IF(J33="","",IF(J33&lt;0.001,"split skew",IF(I33="","",IF(I33&lt;$B$9,"significant — false positive","no difference"))))</f>
        <v/>
      </c>
    </row>
    <row r="34">
      <c r="A34" s="15" t="n"/>
      <c r="B34" s="16" t="n"/>
      <c r="C34" s="16" t="n"/>
      <c r="D34" s="16" t="n"/>
      <c r="E34" s="16" t="n"/>
      <c r="F34" s="17">
        <f>IF(OR(B34="",C34="",D34="",E34="",B34=0,D34=0),"",C34/B34)</f>
        <v/>
      </c>
      <c r="G34" s="17">
        <f>IF(OR(B34="",C34="",D34="",E34="",B34=0,D34=0),"",E34/D34)</f>
        <v/>
      </c>
      <c r="H34" s="18">
        <f>IF(OR(OR(B34="",C34="",D34="",E34="",B34=0,D34=0),C34=0),"",G34/F34-1)</f>
        <v/>
      </c>
      <c r="I34" s="12">
        <f>IF(OR(OR(B34="",C34="",D34="",E34="",B34=0,D34=0),C34+E34=0,C34+E34=B34+D34),"",2*(1-NORMSDIST(ABS(G34-F34)/SQRT((C34+E34)/(B34+D34)*(1-(C34+E34)/(B34+D34))*(1/B34+1/D34)))))</f>
        <v/>
      </c>
      <c r="J34" s="12">
        <f>IF(OR(B34="",D34="",B34+D34=0),"",2*(1-NORMSDIST(ABS(B34-(B34+D34)*$B$10)/SQRT((B34+D34)*$B$10*(1-$B$10)))))</f>
        <v/>
      </c>
      <c r="K34" s="19">
        <f>IF(J34="","",IF(J34&lt;0.001,"split skew",IF(I34="","",IF(I34&lt;$B$9,"significant — false positive","no difference"))))</f>
        <v/>
      </c>
    </row>
    <row r="35">
      <c r="A35" s="15" t="n"/>
      <c r="B35" s="16" t="n"/>
      <c r="C35" s="16" t="n"/>
      <c r="D35" s="16" t="n"/>
      <c r="E35" s="16" t="n"/>
      <c r="F35" s="17">
        <f>IF(OR(B35="",C35="",D35="",E35="",B35=0,D35=0),"",C35/B35)</f>
        <v/>
      </c>
      <c r="G35" s="17">
        <f>IF(OR(B35="",C35="",D35="",E35="",B35=0,D35=0),"",E35/D35)</f>
        <v/>
      </c>
      <c r="H35" s="18">
        <f>IF(OR(OR(B35="",C35="",D35="",E35="",B35=0,D35=0),C35=0),"",G35/F35-1)</f>
        <v/>
      </c>
      <c r="I35" s="12">
        <f>IF(OR(OR(B35="",C35="",D35="",E35="",B35=0,D35=0),C35+E35=0,C35+E35=B35+D35),"",2*(1-NORMSDIST(ABS(G35-F35)/SQRT((C35+E35)/(B35+D35)*(1-(C35+E35)/(B35+D35))*(1/B35+1/D35)))))</f>
        <v/>
      </c>
      <c r="J35" s="12">
        <f>IF(OR(B35="",D35="",B35+D35=0),"",2*(1-NORMSDIST(ABS(B35-(B35+D35)*$B$10)/SQRT((B35+D35)*$B$10*(1-$B$10)))))</f>
        <v/>
      </c>
      <c r="K35" s="19">
        <f>IF(J35="","",IF(J35&lt;0.001,"split skew",IF(I35="","",IF(I35&lt;$B$9,"significant — false positive","no difference"))))</f>
        <v/>
      </c>
    </row>
    <row r="36">
      <c r="A36" s="15" t="n"/>
      <c r="B36" s="16" t="n"/>
      <c r="C36" s="16" t="n"/>
      <c r="D36" s="16" t="n"/>
      <c r="E36" s="16" t="n"/>
      <c r="F36" s="17">
        <f>IF(OR(B36="",C36="",D36="",E36="",B36=0,D36=0),"",C36/B36)</f>
        <v/>
      </c>
      <c r="G36" s="17">
        <f>IF(OR(B36="",C36="",D36="",E36="",B36=0,D36=0),"",E36/D36)</f>
        <v/>
      </c>
      <c r="H36" s="18">
        <f>IF(OR(OR(B36="",C36="",D36="",E36="",B36=0,D36=0),C36=0),"",G36/F36-1)</f>
        <v/>
      </c>
      <c r="I36" s="12">
        <f>IF(OR(OR(B36="",C36="",D36="",E36="",B36=0,D36=0),C36+E36=0,C36+E36=B36+D36),"",2*(1-NORMSDIST(ABS(G36-F36)/SQRT((C36+E36)/(B36+D36)*(1-(C36+E36)/(B36+D36))*(1/B36+1/D36)))))</f>
        <v/>
      </c>
      <c r="J36" s="12">
        <f>IF(OR(B36="",D36="",B36+D36=0),"",2*(1-NORMSDIST(ABS(B36-(B36+D36)*$B$10)/SQRT((B36+D36)*$B$10*(1-$B$10)))))</f>
        <v/>
      </c>
      <c r="K36" s="19">
        <f>IF(J36="","",IF(J36&lt;0.001,"split skew",IF(I36="","",IF(I36&lt;$B$9,"significant — false positive","no difference"))))</f>
        <v/>
      </c>
    </row>
    <row r="37">
      <c r="A37" s="15" t="n"/>
      <c r="B37" s="16" t="n"/>
      <c r="C37" s="16" t="n"/>
      <c r="D37" s="16" t="n"/>
      <c r="E37" s="16" t="n"/>
      <c r="F37" s="17">
        <f>IF(OR(B37="",C37="",D37="",E37="",B37=0,D37=0),"",C37/B37)</f>
        <v/>
      </c>
      <c r="G37" s="17">
        <f>IF(OR(B37="",C37="",D37="",E37="",B37=0,D37=0),"",E37/D37)</f>
        <v/>
      </c>
      <c r="H37" s="18">
        <f>IF(OR(OR(B37="",C37="",D37="",E37="",B37=0,D37=0),C37=0),"",G37/F37-1)</f>
        <v/>
      </c>
      <c r="I37" s="12">
        <f>IF(OR(OR(B37="",C37="",D37="",E37="",B37=0,D37=0),C37+E37=0,C37+E37=B37+D37),"",2*(1-NORMSDIST(ABS(G37-F37)/SQRT((C37+E37)/(B37+D37)*(1-(C37+E37)/(B37+D37))*(1/B37+1/D37)))))</f>
        <v/>
      </c>
      <c r="J37" s="12">
        <f>IF(OR(B37="",D37="",B37+D37=0),"",2*(1-NORMSDIST(ABS(B37-(B37+D37)*$B$10)/SQRT((B37+D37)*$B$10*(1-$B$10)))))</f>
        <v/>
      </c>
      <c r="K37" s="19">
        <f>IF(J37="","",IF(J37&lt;0.001,"split skew",IF(I37="","",IF(I37&lt;$B$9,"significant — false positive","no difference"))))</f>
        <v/>
      </c>
    </row>
    <row r="38">
      <c r="A38" s="15" t="n"/>
      <c r="B38" s="16" t="n"/>
      <c r="C38" s="16" t="n"/>
      <c r="D38" s="16" t="n"/>
      <c r="E38" s="16" t="n"/>
      <c r="F38" s="17">
        <f>IF(OR(B38="",C38="",D38="",E38="",B38=0,D38=0),"",C38/B38)</f>
        <v/>
      </c>
      <c r="G38" s="17">
        <f>IF(OR(B38="",C38="",D38="",E38="",B38=0,D38=0),"",E38/D38)</f>
        <v/>
      </c>
      <c r="H38" s="18">
        <f>IF(OR(OR(B38="",C38="",D38="",E38="",B38=0,D38=0),C38=0),"",G38/F38-1)</f>
        <v/>
      </c>
      <c r="I38" s="12">
        <f>IF(OR(OR(B38="",C38="",D38="",E38="",B38=0,D38=0),C38+E38=0,C38+E38=B38+D38),"",2*(1-NORMSDIST(ABS(G38-F38)/SQRT((C38+E38)/(B38+D38)*(1-(C38+E38)/(B38+D38))*(1/B38+1/D38)))))</f>
        <v/>
      </c>
      <c r="J38" s="12">
        <f>IF(OR(B38="",D38="",B38+D38=0),"",2*(1-NORMSDIST(ABS(B38-(B38+D38)*$B$10)/SQRT((B38+D38)*$B$10*(1-$B$10)))))</f>
        <v/>
      </c>
      <c r="K38" s="19">
        <f>IF(J38="","",IF(J38&lt;0.001,"split skew",IF(I38="","",IF(I38&lt;$B$9,"significant — false positive","no difference"))))</f>
        <v/>
      </c>
    </row>
    <row r="39">
      <c r="A39" s="15" t="n"/>
      <c r="B39" s="16" t="n"/>
      <c r="C39" s="16" t="n"/>
      <c r="D39" s="16" t="n"/>
      <c r="E39" s="16" t="n"/>
      <c r="F39" s="17">
        <f>IF(OR(B39="",C39="",D39="",E39="",B39=0,D39=0),"",C39/B39)</f>
        <v/>
      </c>
      <c r="G39" s="17">
        <f>IF(OR(B39="",C39="",D39="",E39="",B39=0,D39=0),"",E39/D39)</f>
        <v/>
      </c>
      <c r="H39" s="18">
        <f>IF(OR(OR(B39="",C39="",D39="",E39="",B39=0,D39=0),C39=0),"",G39/F39-1)</f>
        <v/>
      </c>
      <c r="I39" s="12">
        <f>IF(OR(OR(B39="",C39="",D39="",E39="",B39=0,D39=0),C39+E39=0,C39+E39=B39+D39),"",2*(1-NORMSDIST(ABS(G39-F39)/SQRT((C39+E39)/(B39+D39)*(1-(C39+E39)/(B39+D39))*(1/B39+1/D39)))))</f>
        <v/>
      </c>
      <c r="J39" s="12">
        <f>IF(OR(B39="",D39="",B39+D39=0),"",2*(1-NORMSDIST(ABS(B39-(B39+D39)*$B$10)/SQRT((B39+D39)*$B$10*(1-$B$10)))))</f>
        <v/>
      </c>
      <c r="K39" s="19">
        <f>IF(J39="","",IF(J39&lt;0.001,"split skew",IF(I39="","",IF(I39&lt;$B$9,"significant — false positive","no difference"))))</f>
        <v/>
      </c>
    </row>
    <row r="40">
      <c r="A40" s="15" t="n"/>
      <c r="B40" s="16" t="n"/>
      <c r="C40" s="16" t="n"/>
      <c r="D40" s="16" t="n"/>
      <c r="E40" s="16" t="n"/>
      <c r="F40" s="17">
        <f>IF(OR(B40="",C40="",D40="",E40="",B40=0,D40=0),"",C40/B40)</f>
        <v/>
      </c>
      <c r="G40" s="17">
        <f>IF(OR(B40="",C40="",D40="",E40="",B40=0,D40=0),"",E40/D40)</f>
        <v/>
      </c>
      <c r="H40" s="18">
        <f>IF(OR(OR(B40="",C40="",D40="",E40="",B40=0,D40=0),C40=0),"",G40/F40-1)</f>
        <v/>
      </c>
      <c r="I40" s="12">
        <f>IF(OR(OR(B40="",C40="",D40="",E40="",B40=0,D40=0),C40+E40=0,C40+E40=B40+D40),"",2*(1-NORMSDIST(ABS(G40-F40)/SQRT((C40+E40)/(B40+D40)*(1-(C40+E40)/(B40+D40))*(1/B40+1/D40)))))</f>
        <v/>
      </c>
      <c r="J40" s="12">
        <f>IF(OR(B40="",D40="",B40+D40=0),"",2*(1-NORMSDIST(ABS(B40-(B40+D40)*$B$10)/SQRT((B40+D40)*$B$10*(1-$B$10)))))</f>
        <v/>
      </c>
      <c r="K40" s="19">
        <f>IF(J40="","",IF(J40&lt;0.001,"split skew",IF(I40="","",IF(I40&lt;$B$9,"significant — false positive","no difference"))))</f>
        <v/>
      </c>
    </row>
    <row r="41">
      <c r="A41" s="15" t="n"/>
      <c r="B41" s="16" t="n"/>
      <c r="C41" s="16" t="n"/>
      <c r="D41" s="16" t="n"/>
      <c r="E41" s="16" t="n"/>
      <c r="F41" s="17">
        <f>IF(OR(B41="",C41="",D41="",E41="",B41=0,D41=0),"",C41/B41)</f>
        <v/>
      </c>
      <c r="G41" s="17">
        <f>IF(OR(B41="",C41="",D41="",E41="",B41=0,D41=0),"",E41/D41)</f>
        <v/>
      </c>
      <c r="H41" s="18">
        <f>IF(OR(OR(B41="",C41="",D41="",E41="",B41=0,D41=0),C41=0),"",G41/F41-1)</f>
        <v/>
      </c>
      <c r="I41" s="12">
        <f>IF(OR(OR(B41="",C41="",D41="",E41="",B41=0,D41=0),C41+E41=0,C41+E41=B41+D41),"",2*(1-NORMSDIST(ABS(G41-F41)/SQRT((C41+E41)/(B41+D41)*(1-(C41+E41)/(B41+D41))*(1/B41+1/D41)))))</f>
        <v/>
      </c>
      <c r="J41" s="12">
        <f>IF(OR(B41="",D41="",B41+D41=0),"",2*(1-NORMSDIST(ABS(B41-(B41+D41)*$B$10)/SQRT((B41+D41)*$B$10*(1-$B$10)))))</f>
        <v/>
      </c>
      <c r="K41" s="19">
        <f>IF(J41="","",IF(J41&lt;0.001,"split skew",IF(I41="","",IF(I41&lt;$B$9,"significant — false positive","no difference"))))</f>
        <v/>
      </c>
    </row>
    <row r="42">
      <c r="A42" s="15" t="n"/>
      <c r="B42" s="16" t="n"/>
      <c r="C42" s="16" t="n"/>
      <c r="D42" s="16" t="n"/>
      <c r="E42" s="16" t="n"/>
      <c r="F42" s="17">
        <f>IF(OR(B42="",C42="",D42="",E42="",B42=0,D42=0),"",C42/B42)</f>
        <v/>
      </c>
      <c r="G42" s="17">
        <f>IF(OR(B42="",C42="",D42="",E42="",B42=0,D42=0),"",E42/D42)</f>
        <v/>
      </c>
      <c r="H42" s="18">
        <f>IF(OR(OR(B42="",C42="",D42="",E42="",B42=0,D42=0),C42=0),"",G42/F42-1)</f>
        <v/>
      </c>
      <c r="I42" s="12">
        <f>IF(OR(OR(B42="",C42="",D42="",E42="",B42=0,D42=0),C42+E42=0,C42+E42=B42+D42),"",2*(1-NORMSDIST(ABS(G42-F42)/SQRT((C42+E42)/(B42+D42)*(1-(C42+E42)/(B42+D42))*(1/B42+1/D42)))))</f>
        <v/>
      </c>
      <c r="J42" s="12">
        <f>IF(OR(B42="",D42="",B42+D42=0),"",2*(1-NORMSDIST(ABS(B42-(B42+D42)*$B$10)/SQRT((B42+D42)*$B$10*(1-$B$10)))))</f>
        <v/>
      </c>
      <c r="K42" s="19">
        <f>IF(J42="","",IF(J42&lt;0.001,"split skew",IF(I42="","",IF(I42&lt;$B$9,"significant — false positive","no difference"))))</f>
        <v/>
      </c>
    </row>
    <row r="43">
      <c r="A43" s="15" t="n"/>
      <c r="B43" s="16" t="n"/>
      <c r="C43" s="16" t="n"/>
      <c r="D43" s="16" t="n"/>
      <c r="E43" s="16" t="n"/>
      <c r="F43" s="17">
        <f>IF(OR(B43="",C43="",D43="",E43="",B43=0,D43=0),"",C43/B43)</f>
        <v/>
      </c>
      <c r="G43" s="17">
        <f>IF(OR(B43="",C43="",D43="",E43="",B43=0,D43=0),"",E43/D43)</f>
        <v/>
      </c>
      <c r="H43" s="18">
        <f>IF(OR(OR(B43="",C43="",D43="",E43="",B43=0,D43=0),C43=0),"",G43/F43-1)</f>
        <v/>
      </c>
      <c r="I43" s="12">
        <f>IF(OR(OR(B43="",C43="",D43="",E43="",B43=0,D43=0),C43+E43=0,C43+E43=B43+D43),"",2*(1-NORMSDIST(ABS(G43-F43)/SQRT((C43+E43)/(B43+D43)*(1-(C43+E43)/(B43+D43))*(1/B43+1/D43)))))</f>
        <v/>
      </c>
      <c r="J43" s="12">
        <f>IF(OR(B43="",D43="",B43+D43=0),"",2*(1-NORMSDIST(ABS(B43-(B43+D43)*$B$10)/SQRT((B43+D43)*$B$10*(1-$B$10)))))</f>
        <v/>
      </c>
      <c r="K43" s="19">
        <f>IF(J43="","",IF(J43&lt;0.001,"split skew",IF(I43="","",IF(I43&lt;$B$9,"significant — false positive","no difference"))))</f>
        <v/>
      </c>
    </row>
    <row r="44">
      <c r="A44" s="15" t="n"/>
      <c r="B44" s="16" t="n"/>
      <c r="C44" s="16" t="n"/>
      <c r="D44" s="16" t="n"/>
      <c r="E44" s="16" t="n"/>
      <c r="F44" s="17">
        <f>IF(OR(B44="",C44="",D44="",E44="",B44=0,D44=0),"",C44/B44)</f>
        <v/>
      </c>
      <c r="G44" s="17">
        <f>IF(OR(B44="",C44="",D44="",E44="",B44=0,D44=0),"",E44/D44)</f>
        <v/>
      </c>
      <c r="H44" s="18">
        <f>IF(OR(OR(B44="",C44="",D44="",E44="",B44=0,D44=0),C44=0),"",G44/F44-1)</f>
        <v/>
      </c>
      <c r="I44" s="12">
        <f>IF(OR(OR(B44="",C44="",D44="",E44="",B44=0,D44=0),C44+E44=0,C44+E44=B44+D44),"",2*(1-NORMSDIST(ABS(G44-F44)/SQRT((C44+E44)/(B44+D44)*(1-(C44+E44)/(B44+D44))*(1/B44+1/D44)))))</f>
        <v/>
      </c>
      <c r="J44" s="12">
        <f>IF(OR(B44="",D44="",B44+D44=0),"",2*(1-NORMSDIST(ABS(B44-(B44+D44)*$B$10)/SQRT((B44+D44)*$B$10*(1-$B$10)))))</f>
        <v/>
      </c>
      <c r="K44" s="19">
        <f>IF(J44="","",IF(J44&lt;0.001,"split skew",IF(I44="","",IF(I44&lt;$B$9,"significant — false positive","no difference"))))</f>
        <v/>
      </c>
    </row>
    <row r="45">
      <c r="A45" s="15" t="n"/>
      <c r="B45" s="16" t="n"/>
      <c r="C45" s="16" t="n"/>
      <c r="D45" s="16" t="n"/>
      <c r="E45" s="16" t="n"/>
      <c r="F45" s="17">
        <f>IF(OR(B45="",C45="",D45="",E45="",B45=0,D45=0),"",C45/B45)</f>
        <v/>
      </c>
      <c r="G45" s="17">
        <f>IF(OR(B45="",C45="",D45="",E45="",B45=0,D45=0),"",E45/D45)</f>
        <v/>
      </c>
      <c r="H45" s="18">
        <f>IF(OR(OR(B45="",C45="",D45="",E45="",B45=0,D45=0),C45=0),"",G45/F45-1)</f>
        <v/>
      </c>
      <c r="I45" s="12">
        <f>IF(OR(OR(B45="",C45="",D45="",E45="",B45=0,D45=0),C45+E45=0,C45+E45=B45+D45),"",2*(1-NORMSDIST(ABS(G45-F45)/SQRT((C45+E45)/(B45+D45)*(1-(C45+E45)/(B45+D45))*(1/B45+1/D45)))))</f>
        <v/>
      </c>
      <c r="J45" s="12">
        <f>IF(OR(B45="",D45="",B45+D45=0),"",2*(1-NORMSDIST(ABS(B45-(B45+D45)*$B$10)/SQRT((B45+D45)*$B$10*(1-$B$10)))))</f>
        <v/>
      </c>
      <c r="K45" s="19">
        <f>IF(J45="","",IF(J45&lt;0.001,"split skew",IF(I45="","",IF(I45&lt;$B$9,"significant — false positive","no difference"))))</f>
        <v/>
      </c>
    </row>
    <row r="46">
      <c r="A46" s="15" t="n"/>
      <c r="B46" s="16" t="n"/>
      <c r="C46" s="16" t="n"/>
      <c r="D46" s="16" t="n"/>
      <c r="E46" s="16" t="n"/>
      <c r="F46" s="17">
        <f>IF(OR(B46="",C46="",D46="",E46="",B46=0,D46=0),"",C46/B46)</f>
        <v/>
      </c>
      <c r="G46" s="17">
        <f>IF(OR(B46="",C46="",D46="",E46="",B46=0,D46=0),"",E46/D46)</f>
        <v/>
      </c>
      <c r="H46" s="18">
        <f>IF(OR(OR(B46="",C46="",D46="",E46="",B46=0,D46=0),C46=0),"",G46/F46-1)</f>
        <v/>
      </c>
      <c r="I46" s="12">
        <f>IF(OR(OR(B46="",C46="",D46="",E46="",B46=0,D46=0),C46+E46=0,C46+E46=B46+D46),"",2*(1-NORMSDIST(ABS(G46-F46)/SQRT((C46+E46)/(B46+D46)*(1-(C46+E46)/(B46+D46))*(1/B46+1/D46)))))</f>
        <v/>
      </c>
      <c r="J46" s="12">
        <f>IF(OR(B46="",D46="",B46+D46=0),"",2*(1-NORMSDIST(ABS(B46-(B46+D46)*$B$10)/SQRT((B46+D46)*$B$10*(1-$B$10)))))</f>
        <v/>
      </c>
      <c r="K46" s="19">
        <f>IF(J46="","",IF(J46&lt;0.001,"split skew",IF(I46="","",IF(I46&lt;$B$9,"significant — false positive","no difference"))))</f>
        <v/>
      </c>
    </row>
    <row r="47">
      <c r="A47" s="15" t="n"/>
      <c r="B47" s="16" t="n"/>
      <c r="C47" s="16" t="n"/>
      <c r="D47" s="16" t="n"/>
      <c r="E47" s="16" t="n"/>
      <c r="F47" s="17">
        <f>IF(OR(B47="",C47="",D47="",E47="",B47=0,D47=0),"",C47/B47)</f>
        <v/>
      </c>
      <c r="G47" s="17">
        <f>IF(OR(B47="",C47="",D47="",E47="",B47=0,D47=0),"",E47/D47)</f>
        <v/>
      </c>
      <c r="H47" s="18">
        <f>IF(OR(OR(B47="",C47="",D47="",E47="",B47=0,D47=0),C47=0),"",G47/F47-1)</f>
        <v/>
      </c>
      <c r="I47" s="12">
        <f>IF(OR(OR(B47="",C47="",D47="",E47="",B47=0,D47=0),C47+E47=0,C47+E47=B47+D47),"",2*(1-NORMSDIST(ABS(G47-F47)/SQRT((C47+E47)/(B47+D47)*(1-(C47+E47)/(B47+D47))*(1/B47+1/D47)))))</f>
        <v/>
      </c>
      <c r="J47" s="12">
        <f>IF(OR(B47="",D47="",B47+D47=0),"",2*(1-NORMSDIST(ABS(B47-(B47+D47)*$B$10)/SQRT((B47+D47)*$B$10*(1-$B$10)))))</f>
        <v/>
      </c>
      <c r="K47" s="19">
        <f>IF(J47="","",IF(J47&lt;0.001,"split skew",IF(I47="","",IF(I47&lt;$B$9,"significant — false positive","no difference"))))</f>
        <v/>
      </c>
    </row>
    <row r="48">
      <c r="A48" s="15" t="n"/>
      <c r="B48" s="16" t="n"/>
      <c r="C48" s="16" t="n"/>
      <c r="D48" s="16" t="n"/>
      <c r="E48" s="16" t="n"/>
      <c r="F48" s="17">
        <f>IF(OR(B48="",C48="",D48="",E48="",B48=0,D48=0),"",C48/B48)</f>
        <v/>
      </c>
      <c r="G48" s="17">
        <f>IF(OR(B48="",C48="",D48="",E48="",B48=0,D48=0),"",E48/D48)</f>
        <v/>
      </c>
      <c r="H48" s="18">
        <f>IF(OR(OR(B48="",C48="",D48="",E48="",B48=0,D48=0),C48=0),"",G48/F48-1)</f>
        <v/>
      </c>
      <c r="I48" s="12">
        <f>IF(OR(OR(B48="",C48="",D48="",E48="",B48=0,D48=0),C48+E48=0,C48+E48=B48+D48),"",2*(1-NORMSDIST(ABS(G48-F48)/SQRT((C48+E48)/(B48+D48)*(1-(C48+E48)/(B48+D48))*(1/B48+1/D48)))))</f>
        <v/>
      </c>
      <c r="J48" s="12">
        <f>IF(OR(B48="",D48="",B48+D48=0),"",2*(1-NORMSDIST(ABS(B48-(B48+D48)*$B$10)/SQRT((B48+D48)*$B$10*(1-$B$10)))))</f>
        <v/>
      </c>
      <c r="K48" s="19">
        <f>IF(J48="","",IF(J48&lt;0.001,"split skew",IF(I48="","",IF(I48&lt;$B$9,"significant — false positive","no difference"))))</f>
        <v/>
      </c>
    </row>
    <row r="49">
      <c r="A49" s="15" t="n"/>
      <c r="B49" s="16" t="n"/>
      <c r="C49" s="16" t="n"/>
      <c r="D49" s="16" t="n"/>
      <c r="E49" s="16" t="n"/>
      <c r="F49" s="17">
        <f>IF(OR(B49="",C49="",D49="",E49="",B49=0,D49=0),"",C49/B49)</f>
        <v/>
      </c>
      <c r="G49" s="17">
        <f>IF(OR(B49="",C49="",D49="",E49="",B49=0,D49=0),"",E49/D49)</f>
        <v/>
      </c>
      <c r="H49" s="18">
        <f>IF(OR(OR(B49="",C49="",D49="",E49="",B49=0,D49=0),C49=0),"",G49/F49-1)</f>
        <v/>
      </c>
      <c r="I49" s="12">
        <f>IF(OR(OR(B49="",C49="",D49="",E49="",B49=0,D49=0),C49+E49=0,C49+E49=B49+D49),"",2*(1-NORMSDIST(ABS(G49-F49)/SQRT((C49+E49)/(B49+D49)*(1-(C49+E49)/(B49+D49))*(1/B49+1/D49)))))</f>
        <v/>
      </c>
      <c r="J49" s="12">
        <f>IF(OR(B49="",D49="",B49+D49=0),"",2*(1-NORMSDIST(ABS(B49-(B49+D49)*$B$10)/SQRT((B49+D49)*$B$10*(1-$B$10)))))</f>
        <v/>
      </c>
      <c r="K49" s="19">
        <f>IF(J49="","",IF(J49&lt;0.001,"split skew",IF(I49="","",IF(I49&lt;$B$9,"significant — false positive","no difference"))))</f>
        <v/>
      </c>
    </row>
    <row r="50">
      <c r="A50" s="15" t="n"/>
      <c r="B50" s="16" t="n"/>
      <c r="C50" s="16" t="n"/>
      <c r="D50" s="16" t="n"/>
      <c r="E50" s="16" t="n"/>
      <c r="F50" s="17">
        <f>IF(OR(B50="",C50="",D50="",E50="",B50=0,D50=0),"",C50/B50)</f>
        <v/>
      </c>
      <c r="G50" s="17">
        <f>IF(OR(B50="",C50="",D50="",E50="",B50=0,D50=0),"",E50/D50)</f>
        <v/>
      </c>
      <c r="H50" s="18">
        <f>IF(OR(OR(B50="",C50="",D50="",E50="",B50=0,D50=0),C50=0),"",G50/F50-1)</f>
        <v/>
      </c>
      <c r="I50" s="12">
        <f>IF(OR(OR(B50="",C50="",D50="",E50="",B50=0,D50=0),C50+E50=0,C50+E50=B50+D50),"",2*(1-NORMSDIST(ABS(G50-F50)/SQRT((C50+E50)/(B50+D50)*(1-(C50+E50)/(B50+D50))*(1/B50+1/D50)))))</f>
        <v/>
      </c>
      <c r="J50" s="12">
        <f>IF(OR(B50="",D50="",B50+D50=0),"",2*(1-NORMSDIST(ABS(B50-(B50+D50)*$B$10)/SQRT((B50+D50)*$B$10*(1-$B$10)))))</f>
        <v/>
      </c>
      <c r="K50" s="19">
        <f>IF(J50="","",IF(J50&lt;0.001,"split skew",IF(I50="","",IF(I50&lt;$B$9,"significant — false positive","no difference"))))</f>
        <v/>
      </c>
    </row>
    <row r="51">
      <c r="A51" s="15" t="n"/>
      <c r="B51" s="16" t="n"/>
      <c r="C51" s="16" t="n"/>
      <c r="D51" s="16" t="n"/>
      <c r="E51" s="16" t="n"/>
      <c r="F51" s="17">
        <f>IF(OR(B51="",C51="",D51="",E51="",B51=0,D51=0),"",C51/B51)</f>
        <v/>
      </c>
      <c r="G51" s="17">
        <f>IF(OR(B51="",C51="",D51="",E51="",B51=0,D51=0),"",E51/D51)</f>
        <v/>
      </c>
      <c r="H51" s="18">
        <f>IF(OR(OR(B51="",C51="",D51="",E51="",B51=0,D51=0),C51=0),"",G51/F51-1)</f>
        <v/>
      </c>
      <c r="I51" s="12">
        <f>IF(OR(OR(B51="",C51="",D51="",E51="",B51=0,D51=0),C51+E51=0,C51+E51=B51+D51),"",2*(1-NORMSDIST(ABS(G51-F51)/SQRT((C51+E51)/(B51+D51)*(1-(C51+E51)/(B51+D51))*(1/B51+1/D51)))))</f>
        <v/>
      </c>
      <c r="J51" s="12">
        <f>IF(OR(B51="",D51="",B51+D51=0),"",2*(1-NORMSDIST(ABS(B51-(B51+D51)*$B$10)/SQRT((B51+D51)*$B$10*(1-$B$10)))))</f>
        <v/>
      </c>
      <c r="K51" s="19">
        <f>IF(J51="","",IF(J51&lt;0.001,"split skew",IF(I51="","",IF(I51&lt;$B$9,"significant — false positive","no difference"))))</f>
        <v/>
      </c>
    </row>
    <row r="52">
      <c r="A52" s="15" t="n"/>
      <c r="B52" s="16" t="n"/>
      <c r="C52" s="16" t="n"/>
      <c r="D52" s="16" t="n"/>
      <c r="E52" s="16" t="n"/>
      <c r="F52" s="17">
        <f>IF(OR(B52="",C52="",D52="",E52="",B52=0,D52=0),"",C52/B52)</f>
        <v/>
      </c>
      <c r="G52" s="17">
        <f>IF(OR(B52="",C52="",D52="",E52="",B52=0,D52=0),"",E52/D52)</f>
        <v/>
      </c>
      <c r="H52" s="18">
        <f>IF(OR(OR(B52="",C52="",D52="",E52="",B52=0,D52=0),C52=0),"",G52/F52-1)</f>
        <v/>
      </c>
      <c r="I52" s="12">
        <f>IF(OR(OR(B52="",C52="",D52="",E52="",B52=0,D52=0),C52+E52=0,C52+E52=B52+D52),"",2*(1-NORMSDIST(ABS(G52-F52)/SQRT((C52+E52)/(B52+D52)*(1-(C52+E52)/(B52+D52))*(1/B52+1/D52)))))</f>
        <v/>
      </c>
      <c r="J52" s="12">
        <f>IF(OR(B52="",D52="",B52+D52=0),"",2*(1-NORMSDIST(ABS(B52-(B52+D52)*$B$10)/SQRT((B52+D52)*$B$10*(1-$B$10)))))</f>
        <v/>
      </c>
      <c r="K52" s="19">
        <f>IF(J52="","",IF(J52&lt;0.001,"split skew",IF(I52="","",IF(I52&lt;$B$9,"significant — false positive","no difference"))))</f>
        <v/>
      </c>
    </row>
    <row r="53">
      <c r="A53" s="15" t="n"/>
      <c r="B53" s="16" t="n"/>
      <c r="C53" s="16" t="n"/>
      <c r="D53" s="16" t="n"/>
      <c r="E53" s="16" t="n"/>
      <c r="F53" s="17">
        <f>IF(OR(B53="",C53="",D53="",E53="",B53=0,D53=0),"",C53/B53)</f>
        <v/>
      </c>
      <c r="G53" s="17">
        <f>IF(OR(B53="",C53="",D53="",E53="",B53=0,D53=0),"",E53/D53)</f>
        <v/>
      </c>
      <c r="H53" s="18">
        <f>IF(OR(OR(B53="",C53="",D53="",E53="",B53=0,D53=0),C53=0),"",G53/F53-1)</f>
        <v/>
      </c>
      <c r="I53" s="12">
        <f>IF(OR(OR(B53="",C53="",D53="",E53="",B53=0,D53=0),C53+E53=0,C53+E53=B53+D53),"",2*(1-NORMSDIST(ABS(G53-F53)/SQRT((C53+E53)/(B53+D53)*(1-(C53+E53)/(B53+D53))*(1/B53+1/D53)))))</f>
        <v/>
      </c>
      <c r="J53" s="12">
        <f>IF(OR(B53="",D53="",B53+D53=0),"",2*(1-NORMSDIST(ABS(B53-(B53+D53)*$B$10)/SQRT((B53+D53)*$B$10*(1-$B$10)))))</f>
        <v/>
      </c>
      <c r="K53" s="19">
        <f>IF(J53="","",IF(J53&lt;0.001,"split skew",IF(I53="","",IF(I53&lt;$B$9,"significant — false positive","no difference"))))</f>
        <v/>
      </c>
    </row>
    <row r="54">
      <c r="A54" s="15" t="n"/>
      <c r="B54" s="16" t="n"/>
      <c r="C54" s="16" t="n"/>
      <c r="D54" s="16" t="n"/>
      <c r="E54" s="16" t="n"/>
      <c r="F54" s="17">
        <f>IF(OR(B54="",C54="",D54="",E54="",B54=0,D54=0),"",C54/B54)</f>
        <v/>
      </c>
      <c r="G54" s="17">
        <f>IF(OR(B54="",C54="",D54="",E54="",B54=0,D54=0),"",E54/D54)</f>
        <v/>
      </c>
      <c r="H54" s="18">
        <f>IF(OR(OR(B54="",C54="",D54="",E54="",B54=0,D54=0),C54=0),"",G54/F54-1)</f>
        <v/>
      </c>
      <c r="I54" s="12">
        <f>IF(OR(OR(B54="",C54="",D54="",E54="",B54=0,D54=0),C54+E54=0,C54+E54=B54+D54),"",2*(1-NORMSDIST(ABS(G54-F54)/SQRT((C54+E54)/(B54+D54)*(1-(C54+E54)/(B54+D54))*(1/B54+1/D54)))))</f>
        <v/>
      </c>
      <c r="J54" s="12">
        <f>IF(OR(B54="",D54="",B54+D54=0),"",2*(1-NORMSDIST(ABS(B54-(B54+D54)*$B$10)/SQRT((B54+D54)*$B$10*(1-$B$10)))))</f>
        <v/>
      </c>
      <c r="K54" s="19">
        <f>IF(J54="","",IF(J54&lt;0.001,"split skew",IF(I54="","",IF(I54&lt;$B$9,"significant — false positive","no difference"))))</f>
        <v/>
      </c>
    </row>
    <row r="55">
      <c r="A55" s="15" t="n"/>
      <c r="B55" s="16" t="n"/>
      <c r="C55" s="16" t="n"/>
      <c r="D55" s="16" t="n"/>
      <c r="E55" s="16" t="n"/>
      <c r="F55" s="17">
        <f>IF(OR(B55="",C55="",D55="",E55="",B55=0,D55=0),"",C55/B55)</f>
        <v/>
      </c>
      <c r="G55" s="17">
        <f>IF(OR(B55="",C55="",D55="",E55="",B55=0,D55=0),"",E55/D55)</f>
        <v/>
      </c>
      <c r="H55" s="18">
        <f>IF(OR(OR(B55="",C55="",D55="",E55="",B55=0,D55=0),C55=0),"",G55/F55-1)</f>
        <v/>
      </c>
      <c r="I55" s="12">
        <f>IF(OR(OR(B55="",C55="",D55="",E55="",B55=0,D55=0),C55+E55=0,C55+E55=B55+D55),"",2*(1-NORMSDIST(ABS(G55-F55)/SQRT((C55+E55)/(B55+D55)*(1-(C55+E55)/(B55+D55))*(1/B55+1/D55)))))</f>
        <v/>
      </c>
      <c r="J55" s="12">
        <f>IF(OR(B55="",D55="",B55+D55=0),"",2*(1-NORMSDIST(ABS(B55-(B55+D55)*$B$10)/SQRT((B55+D55)*$B$10*(1-$B$10)))))</f>
        <v/>
      </c>
      <c r="K55" s="19">
        <f>IF(J55="","",IF(J55&lt;0.001,"split skew",IF(I55="","",IF(I55&lt;$B$9,"significant — false positive","no difference"))))</f>
        <v/>
      </c>
    </row>
    <row r="56">
      <c r="A56" s="15" t="n"/>
      <c r="B56" s="16" t="n"/>
      <c r="C56" s="16" t="n"/>
      <c r="D56" s="16" t="n"/>
      <c r="E56" s="16" t="n"/>
      <c r="F56" s="17">
        <f>IF(OR(B56="",C56="",D56="",E56="",B56=0,D56=0),"",C56/B56)</f>
        <v/>
      </c>
      <c r="G56" s="17">
        <f>IF(OR(B56="",C56="",D56="",E56="",B56=0,D56=0),"",E56/D56)</f>
        <v/>
      </c>
      <c r="H56" s="18">
        <f>IF(OR(OR(B56="",C56="",D56="",E56="",B56=0,D56=0),C56=0),"",G56/F56-1)</f>
        <v/>
      </c>
      <c r="I56" s="12">
        <f>IF(OR(OR(B56="",C56="",D56="",E56="",B56=0,D56=0),C56+E56=0,C56+E56=B56+D56),"",2*(1-NORMSDIST(ABS(G56-F56)/SQRT((C56+E56)/(B56+D56)*(1-(C56+E56)/(B56+D56))*(1/B56+1/D56)))))</f>
        <v/>
      </c>
      <c r="J56" s="12">
        <f>IF(OR(B56="",D56="",B56+D56=0),"",2*(1-NORMSDIST(ABS(B56-(B56+D56)*$B$10)/SQRT((B56+D56)*$B$10*(1-$B$10)))))</f>
        <v/>
      </c>
      <c r="K56" s="19">
        <f>IF(J56="","",IF(J56&lt;0.001,"split skew",IF(I56="","",IF(I56&lt;$B$9,"significant — false positive","no difference"))))</f>
        <v/>
      </c>
    </row>
    <row r="57">
      <c r="A57" s="15" t="n"/>
      <c r="B57" s="16" t="n"/>
      <c r="C57" s="16" t="n"/>
      <c r="D57" s="16" t="n"/>
      <c r="E57" s="16" t="n"/>
      <c r="F57" s="17">
        <f>IF(OR(B57="",C57="",D57="",E57="",B57=0,D57=0),"",C57/B57)</f>
        <v/>
      </c>
      <c r="G57" s="17">
        <f>IF(OR(B57="",C57="",D57="",E57="",B57=0,D57=0),"",E57/D57)</f>
        <v/>
      </c>
      <c r="H57" s="18">
        <f>IF(OR(OR(B57="",C57="",D57="",E57="",B57=0,D57=0),C57=0),"",G57/F57-1)</f>
        <v/>
      </c>
      <c r="I57" s="12">
        <f>IF(OR(OR(B57="",C57="",D57="",E57="",B57=0,D57=0),C57+E57=0,C57+E57=B57+D57),"",2*(1-NORMSDIST(ABS(G57-F57)/SQRT((C57+E57)/(B57+D57)*(1-(C57+E57)/(B57+D57))*(1/B57+1/D57)))))</f>
        <v/>
      </c>
      <c r="J57" s="12">
        <f>IF(OR(B57="",D57="",B57+D57=0),"",2*(1-NORMSDIST(ABS(B57-(B57+D57)*$B$10)/SQRT((B57+D57)*$B$10*(1-$B$10)))))</f>
        <v/>
      </c>
      <c r="K57" s="19">
        <f>IF(J57="","",IF(J57&lt;0.001,"split skew",IF(I57="","",IF(I57&lt;$B$9,"significant — false positive","no difference"))))</f>
        <v/>
      </c>
    </row>
    <row r="58">
      <c r="A58" s="15" t="n"/>
      <c r="B58" s="16" t="n"/>
      <c r="C58" s="16" t="n"/>
      <c r="D58" s="16" t="n"/>
      <c r="E58" s="16" t="n"/>
      <c r="F58" s="17">
        <f>IF(OR(B58="",C58="",D58="",E58="",B58=0,D58=0),"",C58/B58)</f>
        <v/>
      </c>
      <c r="G58" s="17">
        <f>IF(OR(B58="",C58="",D58="",E58="",B58=0,D58=0),"",E58/D58)</f>
        <v/>
      </c>
      <c r="H58" s="18">
        <f>IF(OR(OR(B58="",C58="",D58="",E58="",B58=0,D58=0),C58=0),"",G58/F58-1)</f>
        <v/>
      </c>
      <c r="I58" s="12">
        <f>IF(OR(OR(B58="",C58="",D58="",E58="",B58=0,D58=0),C58+E58=0,C58+E58=B58+D58),"",2*(1-NORMSDIST(ABS(G58-F58)/SQRT((C58+E58)/(B58+D58)*(1-(C58+E58)/(B58+D58))*(1/B58+1/D58)))))</f>
        <v/>
      </c>
      <c r="J58" s="12">
        <f>IF(OR(B58="",D58="",B58+D58=0),"",2*(1-NORMSDIST(ABS(B58-(B58+D58)*$B$10)/SQRT((B58+D58)*$B$10*(1-$B$10)))))</f>
        <v/>
      </c>
      <c r="K58" s="19">
        <f>IF(J58="","",IF(J58&lt;0.001,"split skew",IF(I58="","",IF(I58&lt;$B$9,"significant — false positive","no difference"))))</f>
        <v/>
      </c>
    </row>
    <row r="59">
      <c r="A59" s="15" t="n"/>
      <c r="B59" s="16" t="n"/>
      <c r="C59" s="16" t="n"/>
      <c r="D59" s="16" t="n"/>
      <c r="E59" s="16" t="n"/>
      <c r="F59" s="17">
        <f>IF(OR(B59="",C59="",D59="",E59="",B59=0,D59=0),"",C59/B59)</f>
        <v/>
      </c>
      <c r="G59" s="17">
        <f>IF(OR(B59="",C59="",D59="",E59="",B59=0,D59=0),"",E59/D59)</f>
        <v/>
      </c>
      <c r="H59" s="18">
        <f>IF(OR(OR(B59="",C59="",D59="",E59="",B59=0,D59=0),C59=0),"",G59/F59-1)</f>
        <v/>
      </c>
      <c r="I59" s="12">
        <f>IF(OR(OR(B59="",C59="",D59="",E59="",B59=0,D59=0),C59+E59=0,C59+E59=B59+D59),"",2*(1-NORMSDIST(ABS(G59-F59)/SQRT((C59+E59)/(B59+D59)*(1-(C59+E59)/(B59+D59))*(1/B59+1/D59)))))</f>
        <v/>
      </c>
      <c r="J59" s="12">
        <f>IF(OR(B59="",D59="",B59+D59=0),"",2*(1-NORMSDIST(ABS(B59-(B59+D59)*$B$10)/SQRT((B59+D59)*$B$10*(1-$B$10)))))</f>
        <v/>
      </c>
      <c r="K59" s="19">
        <f>IF(J59="","",IF(J59&lt;0.001,"split skew",IF(I59="","",IF(I59&lt;$B$9,"significant — false positive","no difference"))))</f>
        <v/>
      </c>
    </row>
    <row r="60">
      <c r="A60" s="15" t="n"/>
      <c r="B60" s="16" t="n"/>
      <c r="C60" s="16" t="n"/>
      <c r="D60" s="16" t="n"/>
      <c r="E60" s="16" t="n"/>
      <c r="F60" s="17">
        <f>IF(OR(B60="",C60="",D60="",E60="",B60=0,D60=0),"",C60/B60)</f>
        <v/>
      </c>
      <c r="G60" s="17">
        <f>IF(OR(B60="",C60="",D60="",E60="",B60=0,D60=0),"",E60/D60)</f>
        <v/>
      </c>
      <c r="H60" s="18">
        <f>IF(OR(OR(B60="",C60="",D60="",E60="",B60=0,D60=0),C60=0),"",G60/F60-1)</f>
        <v/>
      </c>
      <c r="I60" s="12">
        <f>IF(OR(OR(B60="",C60="",D60="",E60="",B60=0,D60=0),C60+E60=0,C60+E60=B60+D60),"",2*(1-NORMSDIST(ABS(G60-F60)/SQRT((C60+E60)/(B60+D60)*(1-(C60+E60)/(B60+D60))*(1/B60+1/D60)))))</f>
        <v/>
      </c>
      <c r="J60" s="12">
        <f>IF(OR(B60="",D60="",B60+D60=0),"",2*(1-NORMSDIST(ABS(B60-(B60+D60)*$B$10)/SQRT((B60+D60)*$B$10*(1-$B$10)))))</f>
        <v/>
      </c>
      <c r="K60" s="19">
        <f>IF(J60="","",IF(J60&lt;0.001,"split skew",IF(I60="","",IF(I60&lt;$B$9,"significant — false positive","no difference"))))</f>
        <v/>
      </c>
    </row>
    <row r="61">
      <c r="A61" s="15" t="n"/>
      <c r="B61" s="16" t="n"/>
      <c r="C61" s="16" t="n"/>
      <c r="D61" s="16" t="n"/>
      <c r="E61" s="16" t="n"/>
      <c r="F61" s="17">
        <f>IF(OR(B61="",C61="",D61="",E61="",B61=0,D61=0),"",C61/B61)</f>
        <v/>
      </c>
      <c r="G61" s="17">
        <f>IF(OR(B61="",C61="",D61="",E61="",B61=0,D61=0),"",E61/D61)</f>
        <v/>
      </c>
      <c r="H61" s="18">
        <f>IF(OR(OR(B61="",C61="",D61="",E61="",B61=0,D61=0),C61=0),"",G61/F61-1)</f>
        <v/>
      </c>
      <c r="I61" s="12">
        <f>IF(OR(OR(B61="",C61="",D61="",E61="",B61=0,D61=0),C61+E61=0,C61+E61=B61+D61),"",2*(1-NORMSDIST(ABS(G61-F61)/SQRT((C61+E61)/(B61+D61)*(1-(C61+E61)/(B61+D61))*(1/B61+1/D61)))))</f>
        <v/>
      </c>
      <c r="J61" s="12">
        <f>IF(OR(B61="",D61="",B61+D61=0),"",2*(1-NORMSDIST(ABS(B61-(B61+D61)*$B$10)/SQRT((B61+D61)*$B$10*(1-$B$10)))))</f>
        <v/>
      </c>
      <c r="K61" s="19">
        <f>IF(J61="","",IF(J61&lt;0.001,"split skew",IF(I61="","",IF(I61&lt;$B$9,"significant — false positive","no difference"))))</f>
        <v/>
      </c>
    </row>
    <row r="62">
      <c r="A62" s="15" t="n"/>
      <c r="B62" s="16" t="n"/>
      <c r="C62" s="16" t="n"/>
      <c r="D62" s="16" t="n"/>
      <c r="E62" s="16" t="n"/>
      <c r="F62" s="17">
        <f>IF(OR(B62="",C62="",D62="",E62="",B62=0,D62=0),"",C62/B62)</f>
        <v/>
      </c>
      <c r="G62" s="17">
        <f>IF(OR(B62="",C62="",D62="",E62="",B62=0,D62=0),"",E62/D62)</f>
        <v/>
      </c>
      <c r="H62" s="18">
        <f>IF(OR(OR(B62="",C62="",D62="",E62="",B62=0,D62=0),C62=0),"",G62/F62-1)</f>
        <v/>
      </c>
      <c r="I62" s="12">
        <f>IF(OR(OR(B62="",C62="",D62="",E62="",B62=0,D62=0),C62+E62=0,C62+E62=B62+D62),"",2*(1-NORMSDIST(ABS(G62-F62)/SQRT((C62+E62)/(B62+D62)*(1-(C62+E62)/(B62+D62))*(1/B62+1/D62)))))</f>
        <v/>
      </c>
      <c r="J62" s="12">
        <f>IF(OR(B62="",D62="",B62+D62=0),"",2*(1-NORMSDIST(ABS(B62-(B62+D62)*$B$10)/SQRT((B62+D62)*$B$10*(1-$B$10)))))</f>
        <v/>
      </c>
      <c r="K62" s="19">
        <f>IF(J62="","",IF(J62&lt;0.001,"split skew",IF(I62="","",IF(I62&lt;$B$9,"significant — false positive","no difference"))))</f>
        <v/>
      </c>
    </row>
    <row r="63">
      <c r="A63" s="15" t="n"/>
      <c r="B63" s="16" t="n"/>
      <c r="C63" s="16" t="n"/>
      <c r="D63" s="16" t="n"/>
      <c r="E63" s="16" t="n"/>
      <c r="F63" s="17">
        <f>IF(OR(B63="",C63="",D63="",E63="",B63=0,D63=0),"",C63/B63)</f>
        <v/>
      </c>
      <c r="G63" s="17">
        <f>IF(OR(B63="",C63="",D63="",E63="",B63=0,D63=0),"",E63/D63)</f>
        <v/>
      </c>
      <c r="H63" s="18">
        <f>IF(OR(OR(B63="",C63="",D63="",E63="",B63=0,D63=0),C63=0),"",G63/F63-1)</f>
        <v/>
      </c>
      <c r="I63" s="12">
        <f>IF(OR(OR(B63="",C63="",D63="",E63="",B63=0,D63=0),C63+E63=0,C63+E63=B63+D63),"",2*(1-NORMSDIST(ABS(G63-F63)/SQRT((C63+E63)/(B63+D63)*(1-(C63+E63)/(B63+D63))*(1/B63+1/D63)))))</f>
        <v/>
      </c>
      <c r="J63" s="12">
        <f>IF(OR(B63="",D63="",B63+D63=0),"",2*(1-NORMSDIST(ABS(B63-(B63+D63)*$B$10)/SQRT((B63+D63)*$B$10*(1-$B$10)))))</f>
        <v/>
      </c>
      <c r="K63" s="19">
        <f>IF(J63="","",IF(J63&lt;0.001,"split skew",IF(I63="","",IF(I63&lt;$B$9,"significant — false positive","no difference"))))</f>
        <v/>
      </c>
    </row>
    <row r="64">
      <c r="A64" s="15" t="n"/>
      <c r="B64" s="16" t="n"/>
      <c r="C64" s="16" t="n"/>
      <c r="D64" s="16" t="n"/>
      <c r="E64" s="16" t="n"/>
      <c r="F64" s="17">
        <f>IF(OR(B64="",C64="",D64="",E64="",B64=0,D64=0),"",C64/B64)</f>
        <v/>
      </c>
      <c r="G64" s="17">
        <f>IF(OR(B64="",C64="",D64="",E64="",B64=0,D64=0),"",E64/D64)</f>
        <v/>
      </c>
      <c r="H64" s="18">
        <f>IF(OR(OR(B64="",C64="",D64="",E64="",B64=0,D64=0),C64=0),"",G64/F64-1)</f>
        <v/>
      </c>
      <c r="I64" s="12">
        <f>IF(OR(OR(B64="",C64="",D64="",E64="",B64=0,D64=0),C64+E64=0,C64+E64=B64+D64),"",2*(1-NORMSDIST(ABS(G64-F64)/SQRT((C64+E64)/(B64+D64)*(1-(C64+E64)/(B64+D64))*(1/B64+1/D64)))))</f>
        <v/>
      </c>
      <c r="J64" s="12">
        <f>IF(OR(B64="",D64="",B64+D64=0),"",2*(1-NORMSDIST(ABS(B64-(B64+D64)*$B$10)/SQRT((B64+D64)*$B$10*(1-$B$10)))))</f>
        <v/>
      </c>
      <c r="K64" s="19">
        <f>IF(J64="","",IF(J64&lt;0.001,"split skew",IF(I64="","",IF(I64&lt;$B$9,"significant — false positive","no difference"))))</f>
        <v/>
      </c>
    </row>
    <row r="65">
      <c r="A65" s="15" t="n"/>
      <c r="B65" s="16" t="n"/>
      <c r="C65" s="16" t="n"/>
      <c r="D65" s="16" t="n"/>
      <c r="E65" s="16" t="n"/>
      <c r="F65" s="17">
        <f>IF(OR(B65="",C65="",D65="",E65="",B65=0,D65=0),"",C65/B65)</f>
        <v/>
      </c>
      <c r="G65" s="17">
        <f>IF(OR(B65="",C65="",D65="",E65="",B65=0,D65=0),"",E65/D65)</f>
        <v/>
      </c>
      <c r="H65" s="18">
        <f>IF(OR(OR(B65="",C65="",D65="",E65="",B65=0,D65=0),C65=0),"",G65/F65-1)</f>
        <v/>
      </c>
      <c r="I65" s="12">
        <f>IF(OR(OR(B65="",C65="",D65="",E65="",B65=0,D65=0),C65+E65=0,C65+E65=B65+D65),"",2*(1-NORMSDIST(ABS(G65-F65)/SQRT((C65+E65)/(B65+D65)*(1-(C65+E65)/(B65+D65))*(1/B65+1/D65)))))</f>
        <v/>
      </c>
      <c r="J65" s="12">
        <f>IF(OR(B65="",D65="",B65+D65=0),"",2*(1-NORMSDIST(ABS(B65-(B65+D65)*$B$10)/SQRT((B65+D65)*$B$10*(1-$B$10)))))</f>
        <v/>
      </c>
      <c r="K65" s="19">
        <f>IF(J65="","",IF(J65&lt;0.001,"split skew",IF(I65="","",IF(I65&lt;$B$9,"significant — false positive","no difference"))))</f>
        <v/>
      </c>
    </row>
    <row r="66">
      <c r="A66" s="15" t="n"/>
      <c r="B66" s="16" t="n"/>
      <c r="C66" s="16" t="n"/>
      <c r="D66" s="16" t="n"/>
      <c r="E66" s="16" t="n"/>
      <c r="F66" s="17">
        <f>IF(OR(B66="",C66="",D66="",E66="",B66=0,D66=0),"",C66/B66)</f>
        <v/>
      </c>
      <c r="G66" s="17">
        <f>IF(OR(B66="",C66="",D66="",E66="",B66=0,D66=0),"",E66/D66)</f>
        <v/>
      </c>
      <c r="H66" s="18">
        <f>IF(OR(OR(B66="",C66="",D66="",E66="",B66=0,D66=0),C66=0),"",G66/F66-1)</f>
        <v/>
      </c>
      <c r="I66" s="12">
        <f>IF(OR(OR(B66="",C66="",D66="",E66="",B66=0,D66=0),C66+E66=0,C66+E66=B66+D66),"",2*(1-NORMSDIST(ABS(G66-F66)/SQRT((C66+E66)/(B66+D66)*(1-(C66+E66)/(B66+D66))*(1/B66+1/D66)))))</f>
        <v/>
      </c>
      <c r="J66" s="12">
        <f>IF(OR(B66="",D66="",B66+D66=0),"",2*(1-NORMSDIST(ABS(B66-(B66+D66)*$B$10)/SQRT((B66+D66)*$B$10*(1-$B$10)))))</f>
        <v/>
      </c>
      <c r="K66" s="19">
        <f>IF(J66="","",IF(J66&lt;0.001,"split skew",IF(I66="","",IF(I66&lt;$B$9,"significant — false positive","no difference"))))</f>
        <v/>
      </c>
    </row>
    <row r="67">
      <c r="A67" s="15" t="n"/>
      <c r="B67" s="16" t="n"/>
      <c r="C67" s="16" t="n"/>
      <c r="D67" s="16" t="n"/>
      <c r="E67" s="16" t="n"/>
      <c r="F67" s="17">
        <f>IF(OR(B67="",C67="",D67="",E67="",B67=0,D67=0),"",C67/B67)</f>
        <v/>
      </c>
      <c r="G67" s="17">
        <f>IF(OR(B67="",C67="",D67="",E67="",B67=0,D67=0),"",E67/D67)</f>
        <v/>
      </c>
      <c r="H67" s="18">
        <f>IF(OR(OR(B67="",C67="",D67="",E67="",B67=0,D67=0),C67=0),"",G67/F67-1)</f>
        <v/>
      </c>
      <c r="I67" s="12">
        <f>IF(OR(OR(B67="",C67="",D67="",E67="",B67=0,D67=0),C67+E67=0,C67+E67=B67+D67),"",2*(1-NORMSDIST(ABS(G67-F67)/SQRT((C67+E67)/(B67+D67)*(1-(C67+E67)/(B67+D67))*(1/B67+1/D67)))))</f>
        <v/>
      </c>
      <c r="J67" s="12">
        <f>IF(OR(B67="",D67="",B67+D67=0),"",2*(1-NORMSDIST(ABS(B67-(B67+D67)*$B$10)/SQRT((B67+D67)*$B$10*(1-$B$10)))))</f>
        <v/>
      </c>
      <c r="K67" s="19">
        <f>IF(J67="","",IF(J67&lt;0.001,"split skew",IF(I67="","",IF(I67&lt;$B$9,"significant — false positive","no difference"))))</f>
        <v/>
      </c>
    </row>
    <row r="68">
      <c r="A68" s="15" t="n"/>
      <c r="B68" s="16" t="n"/>
      <c r="C68" s="16" t="n"/>
      <c r="D68" s="16" t="n"/>
      <c r="E68" s="16" t="n"/>
      <c r="F68" s="17">
        <f>IF(OR(B68="",C68="",D68="",E68="",B68=0,D68=0),"",C68/B68)</f>
        <v/>
      </c>
      <c r="G68" s="17">
        <f>IF(OR(B68="",C68="",D68="",E68="",B68=0,D68=0),"",E68/D68)</f>
        <v/>
      </c>
      <c r="H68" s="18">
        <f>IF(OR(OR(B68="",C68="",D68="",E68="",B68=0,D68=0),C68=0),"",G68/F68-1)</f>
        <v/>
      </c>
      <c r="I68" s="12">
        <f>IF(OR(OR(B68="",C68="",D68="",E68="",B68=0,D68=0),C68+E68=0,C68+E68=B68+D68),"",2*(1-NORMSDIST(ABS(G68-F68)/SQRT((C68+E68)/(B68+D68)*(1-(C68+E68)/(B68+D68))*(1/B68+1/D68)))))</f>
        <v/>
      </c>
      <c r="J68" s="12">
        <f>IF(OR(B68="",D68="",B68+D68=0),"",2*(1-NORMSDIST(ABS(B68-(B68+D68)*$B$10)/SQRT((B68+D68)*$B$10*(1-$B$10)))))</f>
        <v/>
      </c>
      <c r="K68" s="19">
        <f>IF(J68="","",IF(J68&lt;0.001,"split skew",IF(I68="","",IF(I68&lt;$B$9,"significant — false positive","no difference"))))</f>
        <v/>
      </c>
    </row>
    <row r="69">
      <c r="A69" s="15" t="n"/>
      <c r="B69" s="16" t="n"/>
      <c r="C69" s="16" t="n"/>
      <c r="D69" s="16" t="n"/>
      <c r="E69" s="16" t="n"/>
      <c r="F69" s="17">
        <f>IF(OR(B69="",C69="",D69="",E69="",B69=0,D69=0),"",C69/B69)</f>
        <v/>
      </c>
      <c r="G69" s="17">
        <f>IF(OR(B69="",C69="",D69="",E69="",B69=0,D69=0),"",E69/D69)</f>
        <v/>
      </c>
      <c r="H69" s="18">
        <f>IF(OR(OR(B69="",C69="",D69="",E69="",B69=0,D69=0),C69=0),"",G69/F69-1)</f>
        <v/>
      </c>
      <c r="I69" s="12">
        <f>IF(OR(OR(B69="",C69="",D69="",E69="",B69=0,D69=0),C69+E69=0,C69+E69=B69+D69),"",2*(1-NORMSDIST(ABS(G69-F69)/SQRT((C69+E69)/(B69+D69)*(1-(C69+E69)/(B69+D69))*(1/B69+1/D69)))))</f>
        <v/>
      </c>
      <c r="J69" s="12">
        <f>IF(OR(B69="",D69="",B69+D69=0),"",2*(1-NORMSDIST(ABS(B69-(B69+D69)*$B$10)/SQRT((B69+D69)*$B$10*(1-$B$10)))))</f>
        <v/>
      </c>
      <c r="K69" s="19">
        <f>IF(J69="","",IF(J69&lt;0.001,"split skew",IF(I69="","",IF(I69&lt;$B$9,"significant — false positive","no difference"))))</f>
        <v/>
      </c>
    </row>
    <row r="70">
      <c r="A70" s="15" t="n"/>
      <c r="B70" s="16" t="n"/>
      <c r="C70" s="16" t="n"/>
      <c r="D70" s="16" t="n"/>
      <c r="E70" s="16" t="n"/>
      <c r="F70" s="17">
        <f>IF(OR(B70="",C70="",D70="",E70="",B70=0,D70=0),"",C70/B70)</f>
        <v/>
      </c>
      <c r="G70" s="17">
        <f>IF(OR(B70="",C70="",D70="",E70="",B70=0,D70=0),"",E70/D70)</f>
        <v/>
      </c>
      <c r="H70" s="18">
        <f>IF(OR(OR(B70="",C70="",D70="",E70="",B70=0,D70=0),C70=0),"",G70/F70-1)</f>
        <v/>
      </c>
      <c r="I70" s="12">
        <f>IF(OR(OR(B70="",C70="",D70="",E70="",B70=0,D70=0),C70+E70=0,C70+E70=B70+D70),"",2*(1-NORMSDIST(ABS(G70-F70)/SQRT((C70+E70)/(B70+D70)*(1-(C70+E70)/(B70+D70))*(1/B70+1/D70)))))</f>
        <v/>
      </c>
      <c r="J70" s="12">
        <f>IF(OR(B70="",D70="",B70+D70=0),"",2*(1-NORMSDIST(ABS(B70-(B70+D70)*$B$10)/SQRT((B70+D70)*$B$10*(1-$B$10)))))</f>
        <v/>
      </c>
      <c r="K70" s="19">
        <f>IF(J70="","",IF(J70&lt;0.001,"split skew",IF(I70="","",IF(I70&lt;$B$9,"significant — false positive","no difference"))))</f>
        <v/>
      </c>
    </row>
    <row r="71">
      <c r="A71" s="15" t="n"/>
      <c r="B71" s="16" t="n"/>
      <c r="C71" s="16" t="n"/>
      <c r="D71" s="16" t="n"/>
      <c r="E71" s="16" t="n"/>
      <c r="F71" s="17">
        <f>IF(OR(B71="",C71="",D71="",E71="",B71=0,D71=0),"",C71/B71)</f>
        <v/>
      </c>
      <c r="G71" s="17">
        <f>IF(OR(B71="",C71="",D71="",E71="",B71=0,D71=0),"",E71/D71)</f>
        <v/>
      </c>
      <c r="H71" s="18">
        <f>IF(OR(OR(B71="",C71="",D71="",E71="",B71=0,D71=0),C71=0),"",G71/F71-1)</f>
        <v/>
      </c>
      <c r="I71" s="12">
        <f>IF(OR(OR(B71="",C71="",D71="",E71="",B71=0,D71=0),C71+E71=0,C71+E71=B71+D71),"",2*(1-NORMSDIST(ABS(G71-F71)/SQRT((C71+E71)/(B71+D71)*(1-(C71+E71)/(B71+D71))*(1/B71+1/D71)))))</f>
        <v/>
      </c>
      <c r="J71" s="12">
        <f>IF(OR(B71="",D71="",B71+D71=0),"",2*(1-NORMSDIST(ABS(B71-(B71+D71)*$B$10)/SQRT((B71+D71)*$B$10*(1-$B$10)))))</f>
        <v/>
      </c>
      <c r="K71" s="19">
        <f>IF(J71="","",IF(J71&lt;0.001,"split skew",IF(I71="","",IF(I71&lt;$B$9,"significant — false positive","no difference"))))</f>
        <v/>
      </c>
    </row>
    <row r="72">
      <c r="A72" s="15" t="n"/>
      <c r="B72" s="16" t="n"/>
      <c r="C72" s="16" t="n"/>
      <c r="D72" s="16" t="n"/>
      <c r="E72" s="16" t="n"/>
      <c r="F72" s="17">
        <f>IF(OR(B72="",C72="",D72="",E72="",B72=0,D72=0),"",C72/B72)</f>
        <v/>
      </c>
      <c r="G72" s="17">
        <f>IF(OR(B72="",C72="",D72="",E72="",B72=0,D72=0),"",E72/D72)</f>
        <v/>
      </c>
      <c r="H72" s="18">
        <f>IF(OR(OR(B72="",C72="",D72="",E72="",B72=0,D72=0),C72=0),"",G72/F72-1)</f>
        <v/>
      </c>
      <c r="I72" s="12">
        <f>IF(OR(OR(B72="",C72="",D72="",E72="",B72=0,D72=0),C72+E72=0,C72+E72=B72+D72),"",2*(1-NORMSDIST(ABS(G72-F72)/SQRT((C72+E72)/(B72+D72)*(1-(C72+E72)/(B72+D72))*(1/B72+1/D72)))))</f>
        <v/>
      </c>
      <c r="J72" s="12">
        <f>IF(OR(B72="",D72="",B72+D72=0),"",2*(1-NORMSDIST(ABS(B72-(B72+D72)*$B$10)/SQRT((B72+D72)*$B$10*(1-$B$10)))))</f>
        <v/>
      </c>
      <c r="K72" s="19">
        <f>IF(J72="","",IF(J72&lt;0.001,"split skew",IF(I72="","",IF(I72&lt;$B$9,"significant — false positive","no difference"))))</f>
        <v/>
      </c>
    </row>
    <row r="73">
      <c r="A73" s="15" t="n"/>
      <c r="B73" s="16" t="n"/>
      <c r="C73" s="16" t="n"/>
      <c r="D73" s="16" t="n"/>
      <c r="E73" s="16" t="n"/>
      <c r="F73" s="17">
        <f>IF(OR(B73="",C73="",D73="",E73="",B73=0,D73=0),"",C73/B73)</f>
        <v/>
      </c>
      <c r="G73" s="17">
        <f>IF(OR(B73="",C73="",D73="",E73="",B73=0,D73=0),"",E73/D73)</f>
        <v/>
      </c>
      <c r="H73" s="18">
        <f>IF(OR(OR(B73="",C73="",D73="",E73="",B73=0,D73=0),C73=0),"",G73/F73-1)</f>
        <v/>
      </c>
      <c r="I73" s="12">
        <f>IF(OR(OR(B73="",C73="",D73="",E73="",B73=0,D73=0),C73+E73=0,C73+E73=B73+D73),"",2*(1-NORMSDIST(ABS(G73-F73)/SQRT((C73+E73)/(B73+D73)*(1-(C73+E73)/(B73+D73))*(1/B73+1/D73)))))</f>
        <v/>
      </c>
      <c r="J73" s="12">
        <f>IF(OR(B73="",D73="",B73+D73=0),"",2*(1-NORMSDIST(ABS(B73-(B73+D73)*$B$10)/SQRT((B73+D73)*$B$10*(1-$B$10)))))</f>
        <v/>
      </c>
      <c r="K73" s="19">
        <f>IF(J73="","",IF(J73&lt;0.001,"split skew",IF(I73="","",IF(I73&lt;$B$9,"significant — false positive","no difference"))))</f>
        <v/>
      </c>
    </row>
    <row r="74">
      <c r="A74" s="15" t="n"/>
      <c r="B74" s="16" t="n"/>
      <c r="C74" s="16" t="n"/>
      <c r="D74" s="16" t="n"/>
      <c r="E74" s="16" t="n"/>
      <c r="F74" s="17">
        <f>IF(OR(B74="",C74="",D74="",E74="",B74=0,D74=0),"",C74/B74)</f>
        <v/>
      </c>
      <c r="G74" s="17">
        <f>IF(OR(B74="",C74="",D74="",E74="",B74=0,D74=0),"",E74/D74)</f>
        <v/>
      </c>
      <c r="H74" s="18">
        <f>IF(OR(OR(B74="",C74="",D74="",E74="",B74=0,D74=0),C74=0),"",G74/F74-1)</f>
        <v/>
      </c>
      <c r="I74" s="12">
        <f>IF(OR(OR(B74="",C74="",D74="",E74="",B74=0,D74=0),C74+E74=0,C74+E74=B74+D74),"",2*(1-NORMSDIST(ABS(G74-F74)/SQRT((C74+E74)/(B74+D74)*(1-(C74+E74)/(B74+D74))*(1/B74+1/D74)))))</f>
        <v/>
      </c>
      <c r="J74" s="12">
        <f>IF(OR(B74="",D74="",B74+D74=0),"",2*(1-NORMSDIST(ABS(B74-(B74+D74)*$B$10)/SQRT((B74+D74)*$B$10*(1-$B$10)))))</f>
        <v/>
      </c>
      <c r="K74" s="19">
        <f>IF(J74="","",IF(J74&lt;0.001,"split skew",IF(I74="","",IF(I74&lt;$B$9,"significant — false positive","no difference"))))</f>
        <v/>
      </c>
    </row>
    <row r="75">
      <c r="A75" s="15" t="n"/>
      <c r="B75" s="16" t="n"/>
      <c r="C75" s="16" t="n"/>
      <c r="D75" s="16" t="n"/>
      <c r="E75" s="16" t="n"/>
      <c r="F75" s="17">
        <f>IF(OR(B75="",C75="",D75="",E75="",B75=0,D75=0),"",C75/B75)</f>
        <v/>
      </c>
      <c r="G75" s="17">
        <f>IF(OR(B75="",C75="",D75="",E75="",B75=0,D75=0),"",E75/D75)</f>
        <v/>
      </c>
      <c r="H75" s="18">
        <f>IF(OR(OR(B75="",C75="",D75="",E75="",B75=0,D75=0),C75=0),"",G75/F75-1)</f>
        <v/>
      </c>
      <c r="I75" s="12">
        <f>IF(OR(OR(B75="",C75="",D75="",E75="",B75=0,D75=0),C75+E75=0,C75+E75=B75+D75),"",2*(1-NORMSDIST(ABS(G75-F75)/SQRT((C75+E75)/(B75+D75)*(1-(C75+E75)/(B75+D75))*(1/B75+1/D75)))))</f>
        <v/>
      </c>
      <c r="J75" s="12">
        <f>IF(OR(B75="",D75="",B75+D75=0),"",2*(1-NORMSDIST(ABS(B75-(B75+D75)*$B$10)/SQRT((B75+D75)*$B$10*(1-$B$10)))))</f>
        <v/>
      </c>
      <c r="K75" s="19">
        <f>IF(J75="","",IF(J75&lt;0.001,"split skew",IF(I75="","",IF(I75&lt;$B$9,"significant — false positive","no difference"))))</f>
        <v/>
      </c>
    </row>
    <row r="76">
      <c r="A76" s="15" t="n"/>
      <c r="B76" s="16" t="n"/>
      <c r="C76" s="16" t="n"/>
      <c r="D76" s="16" t="n"/>
      <c r="E76" s="16" t="n"/>
      <c r="F76" s="17">
        <f>IF(OR(B76="",C76="",D76="",E76="",B76=0,D76=0),"",C76/B76)</f>
        <v/>
      </c>
      <c r="G76" s="17">
        <f>IF(OR(B76="",C76="",D76="",E76="",B76=0,D76=0),"",E76/D76)</f>
        <v/>
      </c>
      <c r="H76" s="18">
        <f>IF(OR(OR(B76="",C76="",D76="",E76="",B76=0,D76=0),C76=0),"",G76/F76-1)</f>
        <v/>
      </c>
      <c r="I76" s="12">
        <f>IF(OR(OR(B76="",C76="",D76="",E76="",B76=0,D76=0),C76+E76=0,C76+E76=B76+D76),"",2*(1-NORMSDIST(ABS(G76-F76)/SQRT((C76+E76)/(B76+D76)*(1-(C76+E76)/(B76+D76))*(1/B76+1/D76)))))</f>
        <v/>
      </c>
      <c r="J76" s="12">
        <f>IF(OR(B76="",D76="",B76+D76=0),"",2*(1-NORMSDIST(ABS(B76-(B76+D76)*$B$10)/SQRT((B76+D76)*$B$10*(1-$B$10)))))</f>
        <v/>
      </c>
      <c r="K76" s="19">
        <f>IF(J76="","",IF(J76&lt;0.001,"split skew",IF(I76="","",IF(I76&lt;$B$9,"significant — false positive","no difference"))))</f>
        <v/>
      </c>
    </row>
    <row r="77">
      <c r="A77" s="15" t="n"/>
      <c r="B77" s="16" t="n"/>
      <c r="C77" s="16" t="n"/>
      <c r="D77" s="16" t="n"/>
      <c r="E77" s="16" t="n"/>
      <c r="F77" s="17">
        <f>IF(OR(B77="",C77="",D77="",E77="",B77=0,D77=0),"",C77/B77)</f>
        <v/>
      </c>
      <c r="G77" s="17">
        <f>IF(OR(B77="",C77="",D77="",E77="",B77=0,D77=0),"",E77/D77)</f>
        <v/>
      </c>
      <c r="H77" s="18">
        <f>IF(OR(OR(B77="",C77="",D77="",E77="",B77=0,D77=0),C77=0),"",G77/F77-1)</f>
        <v/>
      </c>
      <c r="I77" s="12">
        <f>IF(OR(OR(B77="",C77="",D77="",E77="",B77=0,D77=0),C77+E77=0,C77+E77=B77+D77),"",2*(1-NORMSDIST(ABS(G77-F77)/SQRT((C77+E77)/(B77+D77)*(1-(C77+E77)/(B77+D77))*(1/B77+1/D77)))))</f>
        <v/>
      </c>
      <c r="J77" s="12">
        <f>IF(OR(B77="",D77="",B77+D77=0),"",2*(1-NORMSDIST(ABS(B77-(B77+D77)*$B$10)/SQRT((B77+D77)*$B$10*(1-$B$10)))))</f>
        <v/>
      </c>
      <c r="K77" s="19">
        <f>IF(J77="","",IF(J77&lt;0.001,"split skew",IF(I77="","",IF(I77&lt;$B$9,"significant — false positive","no difference"))))</f>
        <v/>
      </c>
    </row>
    <row r="78">
      <c r="A78" s="15" t="n"/>
      <c r="B78" s="16" t="n"/>
      <c r="C78" s="16" t="n"/>
      <c r="D78" s="16" t="n"/>
      <c r="E78" s="16" t="n"/>
      <c r="F78" s="17">
        <f>IF(OR(B78="",C78="",D78="",E78="",B78=0,D78=0),"",C78/B78)</f>
        <v/>
      </c>
      <c r="G78" s="17">
        <f>IF(OR(B78="",C78="",D78="",E78="",B78=0,D78=0),"",E78/D78)</f>
        <v/>
      </c>
      <c r="H78" s="18">
        <f>IF(OR(OR(B78="",C78="",D78="",E78="",B78=0,D78=0),C78=0),"",G78/F78-1)</f>
        <v/>
      </c>
      <c r="I78" s="12">
        <f>IF(OR(OR(B78="",C78="",D78="",E78="",B78=0,D78=0),C78+E78=0,C78+E78=B78+D78),"",2*(1-NORMSDIST(ABS(G78-F78)/SQRT((C78+E78)/(B78+D78)*(1-(C78+E78)/(B78+D78))*(1/B78+1/D78)))))</f>
        <v/>
      </c>
      <c r="J78" s="12">
        <f>IF(OR(B78="",D78="",B78+D78=0),"",2*(1-NORMSDIST(ABS(B78-(B78+D78)*$B$10)/SQRT((B78+D78)*$B$10*(1-$B$10)))))</f>
        <v/>
      </c>
      <c r="K78" s="19">
        <f>IF(J78="","",IF(J78&lt;0.001,"split skew",IF(I78="","",IF(I78&lt;$B$9,"significant — false positive","no difference"))))</f>
        <v/>
      </c>
    </row>
    <row r="79">
      <c r="A79" s="15" t="n"/>
      <c r="B79" s="16" t="n"/>
      <c r="C79" s="16" t="n"/>
      <c r="D79" s="16" t="n"/>
      <c r="E79" s="16" t="n"/>
      <c r="F79" s="17">
        <f>IF(OR(B79="",C79="",D79="",E79="",B79=0,D79=0),"",C79/B79)</f>
        <v/>
      </c>
      <c r="G79" s="17">
        <f>IF(OR(B79="",C79="",D79="",E79="",B79=0,D79=0),"",E79/D79)</f>
        <v/>
      </c>
      <c r="H79" s="18">
        <f>IF(OR(OR(B79="",C79="",D79="",E79="",B79=0,D79=0),C79=0),"",G79/F79-1)</f>
        <v/>
      </c>
      <c r="I79" s="12">
        <f>IF(OR(OR(B79="",C79="",D79="",E79="",B79=0,D79=0),C79+E79=0,C79+E79=B79+D79),"",2*(1-NORMSDIST(ABS(G79-F79)/SQRT((C79+E79)/(B79+D79)*(1-(C79+E79)/(B79+D79))*(1/B79+1/D79)))))</f>
        <v/>
      </c>
      <c r="J79" s="12">
        <f>IF(OR(B79="",D79="",B79+D79=0),"",2*(1-NORMSDIST(ABS(B79-(B79+D79)*$B$10)/SQRT((B79+D79)*$B$10*(1-$B$10)))))</f>
        <v/>
      </c>
      <c r="K79" s="19">
        <f>IF(J79="","",IF(J79&lt;0.001,"split skew",IF(I79="","",IF(I79&lt;$B$9,"significant — false positive","no difference"))))</f>
        <v/>
      </c>
    </row>
    <row r="80">
      <c r="A80" s="15" t="n"/>
      <c r="B80" s="16" t="n"/>
      <c r="C80" s="16" t="n"/>
      <c r="D80" s="16" t="n"/>
      <c r="E80" s="16" t="n"/>
      <c r="F80" s="17">
        <f>IF(OR(B80="",C80="",D80="",E80="",B80=0,D80=0),"",C80/B80)</f>
        <v/>
      </c>
      <c r="G80" s="17">
        <f>IF(OR(B80="",C80="",D80="",E80="",B80=0,D80=0),"",E80/D80)</f>
        <v/>
      </c>
      <c r="H80" s="18">
        <f>IF(OR(OR(B80="",C80="",D80="",E80="",B80=0,D80=0),C80=0),"",G80/F80-1)</f>
        <v/>
      </c>
      <c r="I80" s="12">
        <f>IF(OR(OR(B80="",C80="",D80="",E80="",B80=0,D80=0),C80+E80=0,C80+E80=B80+D80),"",2*(1-NORMSDIST(ABS(G80-F80)/SQRT((C80+E80)/(B80+D80)*(1-(C80+E80)/(B80+D80))*(1/B80+1/D80)))))</f>
        <v/>
      </c>
      <c r="J80" s="12">
        <f>IF(OR(B80="",D80="",B80+D80=0),"",2*(1-NORMSDIST(ABS(B80-(B80+D80)*$B$10)/SQRT((B80+D80)*$B$10*(1-$B$10)))))</f>
        <v/>
      </c>
      <c r="K80" s="19">
        <f>IF(J80="","",IF(J80&lt;0.001,"split skew",IF(I80="","",IF(I80&lt;$B$9,"significant — false positive","no difference"))))</f>
        <v/>
      </c>
    </row>
    <row r="81">
      <c r="A81" s="15" t="n"/>
      <c r="B81" s="16" t="n"/>
      <c r="C81" s="16" t="n"/>
      <c r="D81" s="16" t="n"/>
      <c r="E81" s="16" t="n"/>
      <c r="F81" s="17">
        <f>IF(OR(B81="",C81="",D81="",E81="",B81=0,D81=0),"",C81/B81)</f>
        <v/>
      </c>
      <c r="G81" s="17">
        <f>IF(OR(B81="",C81="",D81="",E81="",B81=0,D81=0),"",E81/D81)</f>
        <v/>
      </c>
      <c r="H81" s="18">
        <f>IF(OR(OR(B81="",C81="",D81="",E81="",B81=0,D81=0),C81=0),"",G81/F81-1)</f>
        <v/>
      </c>
      <c r="I81" s="12">
        <f>IF(OR(OR(B81="",C81="",D81="",E81="",B81=0,D81=0),C81+E81=0,C81+E81=B81+D81),"",2*(1-NORMSDIST(ABS(G81-F81)/SQRT((C81+E81)/(B81+D81)*(1-(C81+E81)/(B81+D81))*(1/B81+1/D81)))))</f>
        <v/>
      </c>
      <c r="J81" s="12">
        <f>IF(OR(B81="",D81="",B81+D81=0),"",2*(1-NORMSDIST(ABS(B81-(B81+D81)*$B$10)/SQRT((B81+D81)*$B$10*(1-$B$10)))))</f>
        <v/>
      </c>
      <c r="K81" s="19">
        <f>IF(J81="","",IF(J81&lt;0.001,"split skew",IF(I81="","",IF(I81&lt;$B$9,"significant — false positive","no difference"))))</f>
        <v/>
      </c>
    </row>
    <row r="82">
      <c r="A82" s="15" t="n"/>
      <c r="B82" s="16" t="n"/>
      <c r="C82" s="16" t="n"/>
      <c r="D82" s="16" t="n"/>
      <c r="E82" s="16" t="n"/>
      <c r="F82" s="17">
        <f>IF(OR(B82="",C82="",D82="",E82="",B82=0,D82=0),"",C82/B82)</f>
        <v/>
      </c>
      <c r="G82" s="17">
        <f>IF(OR(B82="",C82="",D82="",E82="",B82=0,D82=0),"",E82/D82)</f>
        <v/>
      </c>
      <c r="H82" s="18">
        <f>IF(OR(OR(B82="",C82="",D82="",E82="",B82=0,D82=0),C82=0),"",G82/F82-1)</f>
        <v/>
      </c>
      <c r="I82" s="12">
        <f>IF(OR(OR(B82="",C82="",D82="",E82="",B82=0,D82=0),C82+E82=0,C82+E82=B82+D82),"",2*(1-NORMSDIST(ABS(G82-F82)/SQRT((C82+E82)/(B82+D82)*(1-(C82+E82)/(B82+D82))*(1/B82+1/D82)))))</f>
        <v/>
      </c>
      <c r="J82" s="12">
        <f>IF(OR(B82="",D82="",B82+D82=0),"",2*(1-NORMSDIST(ABS(B82-(B82+D82)*$B$10)/SQRT((B82+D82)*$B$10*(1-$B$10)))))</f>
        <v/>
      </c>
      <c r="K82" s="19">
        <f>IF(J82="","",IF(J82&lt;0.001,"split skew",IF(I82="","",IF(I82&lt;$B$9,"significant — false positive","no difference"))))</f>
        <v/>
      </c>
    </row>
    <row r="83">
      <c r="A83" s="15" t="n"/>
      <c r="B83" s="16" t="n"/>
      <c r="C83" s="16" t="n"/>
      <c r="D83" s="16" t="n"/>
      <c r="E83" s="16" t="n"/>
      <c r="F83" s="17">
        <f>IF(OR(B83="",C83="",D83="",E83="",B83=0,D83=0),"",C83/B83)</f>
        <v/>
      </c>
      <c r="G83" s="17">
        <f>IF(OR(B83="",C83="",D83="",E83="",B83=0,D83=0),"",E83/D83)</f>
        <v/>
      </c>
      <c r="H83" s="18">
        <f>IF(OR(OR(B83="",C83="",D83="",E83="",B83=0,D83=0),C83=0),"",G83/F83-1)</f>
        <v/>
      </c>
      <c r="I83" s="12">
        <f>IF(OR(OR(B83="",C83="",D83="",E83="",B83=0,D83=0),C83+E83=0,C83+E83=B83+D83),"",2*(1-NORMSDIST(ABS(G83-F83)/SQRT((C83+E83)/(B83+D83)*(1-(C83+E83)/(B83+D83))*(1/B83+1/D83)))))</f>
        <v/>
      </c>
      <c r="J83" s="12">
        <f>IF(OR(B83="",D83="",B83+D83=0),"",2*(1-NORMSDIST(ABS(B83-(B83+D83)*$B$10)/SQRT((B83+D83)*$B$10*(1-$B$10)))))</f>
        <v/>
      </c>
      <c r="K83" s="19">
        <f>IF(J83="","",IF(J83&lt;0.001,"split skew",IF(I83="","",IF(I83&lt;$B$9,"significant — false positive","no difference"))))</f>
        <v/>
      </c>
    </row>
    <row r="84">
      <c r="A84" s="15" t="n"/>
      <c r="B84" s="16" t="n"/>
      <c r="C84" s="16" t="n"/>
      <c r="D84" s="16" t="n"/>
      <c r="E84" s="16" t="n"/>
      <c r="F84" s="17">
        <f>IF(OR(B84="",C84="",D84="",E84="",B84=0,D84=0),"",C84/B84)</f>
        <v/>
      </c>
      <c r="G84" s="17">
        <f>IF(OR(B84="",C84="",D84="",E84="",B84=0,D84=0),"",E84/D84)</f>
        <v/>
      </c>
      <c r="H84" s="18">
        <f>IF(OR(OR(B84="",C84="",D84="",E84="",B84=0,D84=0),C84=0),"",G84/F84-1)</f>
        <v/>
      </c>
      <c r="I84" s="12">
        <f>IF(OR(OR(B84="",C84="",D84="",E84="",B84=0,D84=0),C84+E84=0,C84+E84=B84+D84),"",2*(1-NORMSDIST(ABS(G84-F84)/SQRT((C84+E84)/(B84+D84)*(1-(C84+E84)/(B84+D84))*(1/B84+1/D84)))))</f>
        <v/>
      </c>
      <c r="J84" s="12">
        <f>IF(OR(B84="",D84="",B84+D84=0),"",2*(1-NORMSDIST(ABS(B84-(B84+D84)*$B$10)/SQRT((B84+D84)*$B$10*(1-$B$10)))))</f>
        <v/>
      </c>
      <c r="K84" s="19">
        <f>IF(J84="","",IF(J84&lt;0.001,"split skew",IF(I84="","",IF(I84&lt;$B$9,"significant — false positive","no difference"))))</f>
        <v/>
      </c>
    </row>
    <row r="85">
      <c r="A85" s="15" t="n"/>
      <c r="B85" s="16" t="n"/>
      <c r="C85" s="16" t="n"/>
      <c r="D85" s="16" t="n"/>
      <c r="E85" s="16" t="n"/>
      <c r="F85" s="17">
        <f>IF(OR(B85="",C85="",D85="",E85="",B85=0,D85=0),"",C85/B85)</f>
        <v/>
      </c>
      <c r="G85" s="17">
        <f>IF(OR(B85="",C85="",D85="",E85="",B85=0,D85=0),"",E85/D85)</f>
        <v/>
      </c>
      <c r="H85" s="18">
        <f>IF(OR(OR(B85="",C85="",D85="",E85="",B85=0,D85=0),C85=0),"",G85/F85-1)</f>
        <v/>
      </c>
      <c r="I85" s="12">
        <f>IF(OR(OR(B85="",C85="",D85="",E85="",B85=0,D85=0),C85+E85=0,C85+E85=B85+D85),"",2*(1-NORMSDIST(ABS(G85-F85)/SQRT((C85+E85)/(B85+D85)*(1-(C85+E85)/(B85+D85))*(1/B85+1/D85)))))</f>
        <v/>
      </c>
      <c r="J85" s="12">
        <f>IF(OR(B85="",D85="",B85+D85=0),"",2*(1-NORMSDIST(ABS(B85-(B85+D85)*$B$10)/SQRT((B85+D85)*$B$10*(1-$B$10)))))</f>
        <v/>
      </c>
      <c r="K85" s="19">
        <f>IF(J85="","",IF(J85&lt;0.001,"split skew",IF(I85="","",IF(I85&lt;$B$9,"significant — false positive","no difference"))))</f>
        <v/>
      </c>
    </row>
    <row r="86">
      <c r="A86" s="15" t="n"/>
      <c r="B86" s="16" t="n"/>
      <c r="C86" s="16" t="n"/>
      <c r="D86" s="16" t="n"/>
      <c r="E86" s="16" t="n"/>
      <c r="F86" s="17">
        <f>IF(OR(B86="",C86="",D86="",E86="",B86=0,D86=0),"",C86/B86)</f>
        <v/>
      </c>
      <c r="G86" s="17">
        <f>IF(OR(B86="",C86="",D86="",E86="",B86=0,D86=0),"",E86/D86)</f>
        <v/>
      </c>
      <c r="H86" s="18">
        <f>IF(OR(OR(B86="",C86="",D86="",E86="",B86=0,D86=0),C86=0),"",G86/F86-1)</f>
        <v/>
      </c>
      <c r="I86" s="12">
        <f>IF(OR(OR(B86="",C86="",D86="",E86="",B86=0,D86=0),C86+E86=0,C86+E86=B86+D86),"",2*(1-NORMSDIST(ABS(G86-F86)/SQRT((C86+E86)/(B86+D86)*(1-(C86+E86)/(B86+D86))*(1/B86+1/D86)))))</f>
        <v/>
      </c>
      <c r="J86" s="12">
        <f>IF(OR(B86="",D86="",B86+D86=0),"",2*(1-NORMSDIST(ABS(B86-(B86+D86)*$B$10)/SQRT((B86+D86)*$B$10*(1-$B$10)))))</f>
        <v/>
      </c>
      <c r="K86" s="19">
        <f>IF(J86="","",IF(J86&lt;0.001,"split skew",IF(I86="","",IF(I86&lt;$B$9,"significant — false positive","no difference"))))</f>
        <v/>
      </c>
    </row>
    <row r="87">
      <c r="A87" s="15" t="n"/>
      <c r="B87" s="16" t="n"/>
      <c r="C87" s="16" t="n"/>
      <c r="D87" s="16" t="n"/>
      <c r="E87" s="16" t="n"/>
      <c r="F87" s="17">
        <f>IF(OR(B87="",C87="",D87="",E87="",B87=0,D87=0),"",C87/B87)</f>
        <v/>
      </c>
      <c r="G87" s="17">
        <f>IF(OR(B87="",C87="",D87="",E87="",B87=0,D87=0),"",E87/D87)</f>
        <v/>
      </c>
      <c r="H87" s="18">
        <f>IF(OR(OR(B87="",C87="",D87="",E87="",B87=0,D87=0),C87=0),"",G87/F87-1)</f>
        <v/>
      </c>
      <c r="I87" s="12">
        <f>IF(OR(OR(B87="",C87="",D87="",E87="",B87=0,D87=0),C87+E87=0,C87+E87=B87+D87),"",2*(1-NORMSDIST(ABS(G87-F87)/SQRT((C87+E87)/(B87+D87)*(1-(C87+E87)/(B87+D87))*(1/B87+1/D87)))))</f>
        <v/>
      </c>
      <c r="J87" s="12">
        <f>IF(OR(B87="",D87="",B87+D87=0),"",2*(1-NORMSDIST(ABS(B87-(B87+D87)*$B$10)/SQRT((B87+D87)*$B$10*(1-$B$10)))))</f>
        <v/>
      </c>
      <c r="K87" s="19">
        <f>IF(J87="","",IF(J87&lt;0.001,"split skew",IF(I87="","",IF(I87&lt;$B$9,"significant — false positive","no difference"))))</f>
        <v/>
      </c>
    </row>
    <row r="88">
      <c r="A88" s="15" t="n"/>
      <c r="B88" s="16" t="n"/>
      <c r="C88" s="16" t="n"/>
      <c r="D88" s="16" t="n"/>
      <c r="E88" s="16" t="n"/>
      <c r="F88" s="17">
        <f>IF(OR(B88="",C88="",D88="",E88="",B88=0,D88=0),"",C88/B88)</f>
        <v/>
      </c>
      <c r="G88" s="17">
        <f>IF(OR(B88="",C88="",D88="",E88="",B88=0,D88=0),"",E88/D88)</f>
        <v/>
      </c>
      <c r="H88" s="18">
        <f>IF(OR(OR(B88="",C88="",D88="",E88="",B88=0,D88=0),C88=0),"",G88/F88-1)</f>
        <v/>
      </c>
      <c r="I88" s="12">
        <f>IF(OR(OR(B88="",C88="",D88="",E88="",B88=0,D88=0),C88+E88=0,C88+E88=B88+D88),"",2*(1-NORMSDIST(ABS(G88-F88)/SQRT((C88+E88)/(B88+D88)*(1-(C88+E88)/(B88+D88))*(1/B88+1/D88)))))</f>
        <v/>
      </c>
      <c r="J88" s="12">
        <f>IF(OR(B88="",D88="",B88+D88=0),"",2*(1-NORMSDIST(ABS(B88-(B88+D88)*$B$10)/SQRT((B88+D88)*$B$10*(1-$B$10)))))</f>
        <v/>
      </c>
      <c r="K88" s="19">
        <f>IF(J88="","",IF(J88&lt;0.001,"split skew",IF(I88="","",IF(I88&lt;$B$9,"significant — false positive","no difference"))))</f>
        <v/>
      </c>
    </row>
    <row r="89">
      <c r="A89" s="15" t="n"/>
      <c r="B89" s="16" t="n"/>
      <c r="C89" s="16" t="n"/>
      <c r="D89" s="16" t="n"/>
      <c r="E89" s="16" t="n"/>
      <c r="F89" s="17">
        <f>IF(OR(B89="",C89="",D89="",E89="",B89=0,D89=0),"",C89/B89)</f>
        <v/>
      </c>
      <c r="G89" s="17">
        <f>IF(OR(B89="",C89="",D89="",E89="",B89=0,D89=0),"",E89/D89)</f>
        <v/>
      </c>
      <c r="H89" s="18">
        <f>IF(OR(OR(B89="",C89="",D89="",E89="",B89=0,D89=0),C89=0),"",G89/F89-1)</f>
        <v/>
      </c>
      <c r="I89" s="12">
        <f>IF(OR(OR(B89="",C89="",D89="",E89="",B89=0,D89=0),C89+E89=0,C89+E89=B89+D89),"",2*(1-NORMSDIST(ABS(G89-F89)/SQRT((C89+E89)/(B89+D89)*(1-(C89+E89)/(B89+D89))*(1/B89+1/D89)))))</f>
        <v/>
      </c>
      <c r="J89" s="12">
        <f>IF(OR(B89="",D89="",B89+D89=0),"",2*(1-NORMSDIST(ABS(B89-(B89+D89)*$B$10)/SQRT((B89+D89)*$B$10*(1-$B$10)))))</f>
        <v/>
      </c>
      <c r="K89" s="19">
        <f>IF(J89="","",IF(J89&lt;0.001,"split skew",IF(I89="","",IF(I89&lt;$B$9,"significant — false positive","no difference"))))</f>
        <v/>
      </c>
    </row>
    <row r="90">
      <c r="A90" s="15" t="n"/>
      <c r="B90" s="16" t="n"/>
      <c r="C90" s="16" t="n"/>
      <c r="D90" s="16" t="n"/>
      <c r="E90" s="16" t="n"/>
      <c r="F90" s="17">
        <f>IF(OR(B90="",C90="",D90="",E90="",B90=0,D90=0),"",C90/B90)</f>
        <v/>
      </c>
      <c r="G90" s="17">
        <f>IF(OR(B90="",C90="",D90="",E90="",B90=0,D90=0),"",E90/D90)</f>
        <v/>
      </c>
      <c r="H90" s="18">
        <f>IF(OR(OR(B90="",C90="",D90="",E90="",B90=0,D90=0),C90=0),"",G90/F90-1)</f>
        <v/>
      </c>
      <c r="I90" s="12">
        <f>IF(OR(OR(B90="",C90="",D90="",E90="",B90=0,D90=0),C90+E90=0,C90+E90=B90+D90),"",2*(1-NORMSDIST(ABS(G90-F90)/SQRT((C90+E90)/(B90+D90)*(1-(C90+E90)/(B90+D90))*(1/B90+1/D90)))))</f>
        <v/>
      </c>
      <c r="J90" s="12">
        <f>IF(OR(B90="",D90="",B90+D90=0),"",2*(1-NORMSDIST(ABS(B90-(B90+D90)*$B$10)/SQRT((B90+D90)*$B$10*(1-$B$10)))))</f>
        <v/>
      </c>
      <c r="K90" s="19">
        <f>IF(J90="","",IF(J90&lt;0.001,"split skew",IF(I90="","",IF(I90&lt;$B$9,"significant — false positive","no difference"))))</f>
        <v/>
      </c>
    </row>
    <row r="91">
      <c r="A91" s="15" t="n"/>
      <c r="B91" s="16" t="n"/>
      <c r="C91" s="16" t="n"/>
      <c r="D91" s="16" t="n"/>
      <c r="E91" s="16" t="n"/>
      <c r="F91" s="17">
        <f>IF(OR(B91="",C91="",D91="",E91="",B91=0,D91=0),"",C91/B91)</f>
        <v/>
      </c>
      <c r="G91" s="17">
        <f>IF(OR(B91="",C91="",D91="",E91="",B91=0,D91=0),"",E91/D91)</f>
        <v/>
      </c>
      <c r="H91" s="18">
        <f>IF(OR(OR(B91="",C91="",D91="",E91="",B91=0,D91=0),C91=0),"",G91/F91-1)</f>
        <v/>
      </c>
      <c r="I91" s="12">
        <f>IF(OR(OR(B91="",C91="",D91="",E91="",B91=0,D91=0),C91+E91=0,C91+E91=B91+D91),"",2*(1-NORMSDIST(ABS(G91-F91)/SQRT((C91+E91)/(B91+D91)*(1-(C91+E91)/(B91+D91))*(1/B91+1/D91)))))</f>
        <v/>
      </c>
      <c r="J91" s="12">
        <f>IF(OR(B91="",D91="",B91+D91=0),"",2*(1-NORMSDIST(ABS(B91-(B91+D91)*$B$10)/SQRT((B91+D91)*$B$10*(1-$B$10)))))</f>
        <v/>
      </c>
      <c r="K91" s="19">
        <f>IF(J91="","",IF(J91&lt;0.001,"split skew",IF(I91="","",IF(I91&lt;$B$9,"significant — false positive","no difference"))))</f>
        <v/>
      </c>
    </row>
    <row r="92">
      <c r="A92" s="15" t="n"/>
      <c r="B92" s="16" t="n"/>
      <c r="C92" s="16" t="n"/>
      <c r="D92" s="16" t="n"/>
      <c r="E92" s="16" t="n"/>
      <c r="F92" s="17">
        <f>IF(OR(B92="",C92="",D92="",E92="",B92=0,D92=0),"",C92/B92)</f>
        <v/>
      </c>
      <c r="G92" s="17">
        <f>IF(OR(B92="",C92="",D92="",E92="",B92=0,D92=0),"",E92/D92)</f>
        <v/>
      </c>
      <c r="H92" s="18">
        <f>IF(OR(OR(B92="",C92="",D92="",E92="",B92=0,D92=0),C92=0),"",G92/F92-1)</f>
        <v/>
      </c>
      <c r="I92" s="12">
        <f>IF(OR(OR(B92="",C92="",D92="",E92="",B92=0,D92=0),C92+E92=0,C92+E92=B92+D92),"",2*(1-NORMSDIST(ABS(G92-F92)/SQRT((C92+E92)/(B92+D92)*(1-(C92+E92)/(B92+D92))*(1/B92+1/D92)))))</f>
        <v/>
      </c>
      <c r="J92" s="12">
        <f>IF(OR(B92="",D92="",B92+D92=0),"",2*(1-NORMSDIST(ABS(B92-(B92+D92)*$B$10)/SQRT((B92+D92)*$B$10*(1-$B$10)))))</f>
        <v/>
      </c>
      <c r="K92" s="19">
        <f>IF(J92="","",IF(J92&lt;0.001,"split skew",IF(I92="","",IF(I92&lt;$B$9,"significant — false positive","no difference"))))</f>
        <v/>
      </c>
    </row>
    <row r="93">
      <c r="A93" s="15" t="n"/>
      <c r="B93" s="16" t="n"/>
      <c r="C93" s="16" t="n"/>
      <c r="D93" s="16" t="n"/>
      <c r="E93" s="16" t="n"/>
      <c r="F93" s="17">
        <f>IF(OR(B93="",C93="",D93="",E93="",B93=0,D93=0),"",C93/B93)</f>
        <v/>
      </c>
      <c r="G93" s="17">
        <f>IF(OR(B93="",C93="",D93="",E93="",B93=0,D93=0),"",E93/D93)</f>
        <v/>
      </c>
      <c r="H93" s="18">
        <f>IF(OR(OR(B93="",C93="",D93="",E93="",B93=0,D93=0),C93=0),"",G93/F93-1)</f>
        <v/>
      </c>
      <c r="I93" s="12">
        <f>IF(OR(OR(B93="",C93="",D93="",E93="",B93=0,D93=0),C93+E93=0,C93+E93=B93+D93),"",2*(1-NORMSDIST(ABS(G93-F93)/SQRT((C93+E93)/(B93+D93)*(1-(C93+E93)/(B93+D93))*(1/B93+1/D93)))))</f>
        <v/>
      </c>
      <c r="J93" s="12">
        <f>IF(OR(B93="",D93="",B93+D93=0),"",2*(1-NORMSDIST(ABS(B93-(B93+D93)*$B$10)/SQRT((B93+D93)*$B$10*(1-$B$10)))))</f>
        <v/>
      </c>
      <c r="K93" s="19">
        <f>IF(J93="","",IF(J93&lt;0.001,"split skew",IF(I93="","",IF(I93&lt;$B$9,"significant — false positive","no difference"))))</f>
        <v/>
      </c>
    </row>
    <row r="94">
      <c r="A94" s="15" t="n"/>
      <c r="B94" s="16" t="n"/>
      <c r="C94" s="16" t="n"/>
      <c r="D94" s="16" t="n"/>
      <c r="E94" s="16" t="n"/>
      <c r="F94" s="17">
        <f>IF(OR(B94="",C94="",D94="",E94="",B94=0,D94=0),"",C94/B94)</f>
        <v/>
      </c>
      <c r="G94" s="17">
        <f>IF(OR(B94="",C94="",D94="",E94="",B94=0,D94=0),"",E94/D94)</f>
        <v/>
      </c>
      <c r="H94" s="18">
        <f>IF(OR(OR(B94="",C94="",D94="",E94="",B94=0,D94=0),C94=0),"",G94/F94-1)</f>
        <v/>
      </c>
      <c r="I94" s="12">
        <f>IF(OR(OR(B94="",C94="",D94="",E94="",B94=0,D94=0),C94+E94=0,C94+E94=B94+D94),"",2*(1-NORMSDIST(ABS(G94-F94)/SQRT((C94+E94)/(B94+D94)*(1-(C94+E94)/(B94+D94))*(1/B94+1/D94)))))</f>
        <v/>
      </c>
      <c r="J94" s="12">
        <f>IF(OR(B94="",D94="",B94+D94=0),"",2*(1-NORMSDIST(ABS(B94-(B94+D94)*$B$10)/SQRT((B94+D94)*$B$10*(1-$B$10)))))</f>
        <v/>
      </c>
      <c r="K94" s="19">
        <f>IF(J94="","",IF(J94&lt;0.001,"split skew",IF(I94="","",IF(I94&lt;$B$9,"significant — false positive","no difference"))))</f>
        <v/>
      </c>
    </row>
    <row r="95">
      <c r="A95" s="15" t="n"/>
      <c r="B95" s="16" t="n"/>
      <c r="C95" s="16" t="n"/>
      <c r="D95" s="16" t="n"/>
      <c r="E95" s="16" t="n"/>
      <c r="F95" s="17">
        <f>IF(OR(B95="",C95="",D95="",E95="",B95=0,D95=0),"",C95/B95)</f>
        <v/>
      </c>
      <c r="G95" s="17">
        <f>IF(OR(B95="",C95="",D95="",E95="",B95=0,D95=0),"",E95/D95)</f>
        <v/>
      </c>
      <c r="H95" s="18">
        <f>IF(OR(OR(B95="",C95="",D95="",E95="",B95=0,D95=0),C95=0),"",G95/F95-1)</f>
        <v/>
      </c>
      <c r="I95" s="12">
        <f>IF(OR(OR(B95="",C95="",D95="",E95="",B95=0,D95=0),C95+E95=0,C95+E95=B95+D95),"",2*(1-NORMSDIST(ABS(G95-F95)/SQRT((C95+E95)/(B95+D95)*(1-(C95+E95)/(B95+D95))*(1/B95+1/D95)))))</f>
        <v/>
      </c>
      <c r="J95" s="12">
        <f>IF(OR(B95="",D95="",B95+D95=0),"",2*(1-NORMSDIST(ABS(B95-(B95+D95)*$B$10)/SQRT((B95+D95)*$B$10*(1-$B$10)))))</f>
        <v/>
      </c>
      <c r="K95" s="19">
        <f>IF(J95="","",IF(J95&lt;0.001,"split skew",IF(I95="","",IF(I95&lt;$B$9,"significant — false positive","no difference"))))</f>
        <v/>
      </c>
    </row>
    <row r="96">
      <c r="A96" s="15" t="n"/>
      <c r="B96" s="16" t="n"/>
      <c r="C96" s="16" t="n"/>
      <c r="D96" s="16" t="n"/>
      <c r="E96" s="16" t="n"/>
      <c r="F96" s="17">
        <f>IF(OR(B96="",C96="",D96="",E96="",B96=0,D96=0),"",C96/B96)</f>
        <v/>
      </c>
      <c r="G96" s="17">
        <f>IF(OR(B96="",C96="",D96="",E96="",B96=0,D96=0),"",E96/D96)</f>
        <v/>
      </c>
      <c r="H96" s="18">
        <f>IF(OR(OR(B96="",C96="",D96="",E96="",B96=0,D96=0),C96=0),"",G96/F96-1)</f>
        <v/>
      </c>
      <c r="I96" s="12">
        <f>IF(OR(OR(B96="",C96="",D96="",E96="",B96=0,D96=0),C96+E96=0,C96+E96=B96+D96),"",2*(1-NORMSDIST(ABS(G96-F96)/SQRT((C96+E96)/(B96+D96)*(1-(C96+E96)/(B96+D96))*(1/B96+1/D96)))))</f>
        <v/>
      </c>
      <c r="J96" s="12">
        <f>IF(OR(B96="",D96="",B96+D96=0),"",2*(1-NORMSDIST(ABS(B96-(B96+D96)*$B$10)/SQRT((B96+D96)*$B$10*(1-$B$10)))))</f>
        <v/>
      </c>
      <c r="K96" s="19">
        <f>IF(J96="","",IF(J96&lt;0.001,"split skew",IF(I96="","",IF(I96&lt;$B$9,"significant — false positive","no difference"))))</f>
        <v/>
      </c>
    </row>
    <row r="97">
      <c r="A97" s="15" t="n"/>
      <c r="B97" s="16" t="n"/>
      <c r="C97" s="16" t="n"/>
      <c r="D97" s="16" t="n"/>
      <c r="E97" s="16" t="n"/>
      <c r="F97" s="17">
        <f>IF(OR(B97="",C97="",D97="",E97="",B97=0,D97=0),"",C97/B97)</f>
        <v/>
      </c>
      <c r="G97" s="17">
        <f>IF(OR(B97="",C97="",D97="",E97="",B97=0,D97=0),"",E97/D97)</f>
        <v/>
      </c>
      <c r="H97" s="18">
        <f>IF(OR(OR(B97="",C97="",D97="",E97="",B97=0,D97=0),C97=0),"",G97/F97-1)</f>
        <v/>
      </c>
      <c r="I97" s="12">
        <f>IF(OR(OR(B97="",C97="",D97="",E97="",B97=0,D97=0),C97+E97=0,C97+E97=B97+D97),"",2*(1-NORMSDIST(ABS(G97-F97)/SQRT((C97+E97)/(B97+D97)*(1-(C97+E97)/(B97+D97))*(1/B97+1/D97)))))</f>
        <v/>
      </c>
      <c r="J97" s="12">
        <f>IF(OR(B97="",D97="",B97+D97=0),"",2*(1-NORMSDIST(ABS(B97-(B97+D97)*$B$10)/SQRT((B97+D97)*$B$10*(1-$B$10)))))</f>
        <v/>
      </c>
      <c r="K97" s="19">
        <f>IF(J97="","",IF(J97&lt;0.001,"split skew",IF(I97="","",IF(I97&lt;$B$9,"significant — false positive","no difference"))))</f>
        <v/>
      </c>
    </row>
    <row r="98">
      <c r="A98" s="15" t="n"/>
      <c r="B98" s="16" t="n"/>
      <c r="C98" s="16" t="n"/>
      <c r="D98" s="16" t="n"/>
      <c r="E98" s="16" t="n"/>
      <c r="F98" s="17">
        <f>IF(OR(B98="",C98="",D98="",E98="",B98=0,D98=0),"",C98/B98)</f>
        <v/>
      </c>
      <c r="G98" s="17">
        <f>IF(OR(B98="",C98="",D98="",E98="",B98=0,D98=0),"",E98/D98)</f>
        <v/>
      </c>
      <c r="H98" s="18">
        <f>IF(OR(OR(B98="",C98="",D98="",E98="",B98=0,D98=0),C98=0),"",G98/F98-1)</f>
        <v/>
      </c>
      <c r="I98" s="12">
        <f>IF(OR(OR(B98="",C98="",D98="",E98="",B98=0,D98=0),C98+E98=0,C98+E98=B98+D98),"",2*(1-NORMSDIST(ABS(G98-F98)/SQRT((C98+E98)/(B98+D98)*(1-(C98+E98)/(B98+D98))*(1/B98+1/D98)))))</f>
        <v/>
      </c>
      <c r="J98" s="12">
        <f>IF(OR(B98="",D98="",B98+D98=0),"",2*(1-NORMSDIST(ABS(B98-(B98+D98)*$B$10)/SQRT((B98+D98)*$B$10*(1-$B$10)))))</f>
        <v/>
      </c>
      <c r="K98" s="19">
        <f>IF(J98="","",IF(J98&lt;0.001,"split skew",IF(I98="","",IF(I98&lt;$B$9,"significant — false positive","no difference"))))</f>
        <v/>
      </c>
    </row>
    <row r="99">
      <c r="A99" s="15" t="n"/>
      <c r="B99" s="16" t="n"/>
      <c r="C99" s="16" t="n"/>
      <c r="D99" s="16" t="n"/>
      <c r="E99" s="16" t="n"/>
      <c r="F99" s="17">
        <f>IF(OR(B99="",C99="",D99="",E99="",B99=0,D99=0),"",C99/B99)</f>
        <v/>
      </c>
      <c r="G99" s="17">
        <f>IF(OR(B99="",C99="",D99="",E99="",B99=0,D99=0),"",E99/D99)</f>
        <v/>
      </c>
      <c r="H99" s="18">
        <f>IF(OR(OR(B99="",C99="",D99="",E99="",B99=0,D99=0),C99=0),"",G99/F99-1)</f>
        <v/>
      </c>
      <c r="I99" s="12">
        <f>IF(OR(OR(B99="",C99="",D99="",E99="",B99=0,D99=0),C99+E99=0,C99+E99=B99+D99),"",2*(1-NORMSDIST(ABS(G99-F99)/SQRT((C99+E99)/(B99+D99)*(1-(C99+E99)/(B99+D99))*(1/B99+1/D99)))))</f>
        <v/>
      </c>
      <c r="J99" s="12">
        <f>IF(OR(B99="",D99="",B99+D99=0),"",2*(1-NORMSDIST(ABS(B99-(B99+D99)*$B$10)/SQRT((B99+D99)*$B$10*(1-$B$10)))))</f>
        <v/>
      </c>
      <c r="K99" s="19">
        <f>IF(J99="","",IF(J99&lt;0.001,"split skew",IF(I99="","",IF(I99&lt;$B$9,"significant — false positive","no difference"))))</f>
        <v/>
      </c>
    </row>
    <row r="100">
      <c r="A100" s="15" t="n"/>
      <c r="B100" s="16" t="n"/>
      <c r="C100" s="16" t="n"/>
      <c r="D100" s="16" t="n"/>
      <c r="E100" s="16" t="n"/>
      <c r="F100" s="17">
        <f>IF(OR(B100="",C100="",D100="",E100="",B100=0,D100=0),"",C100/B100)</f>
        <v/>
      </c>
      <c r="G100" s="17">
        <f>IF(OR(B100="",C100="",D100="",E100="",B100=0,D100=0),"",E100/D100)</f>
        <v/>
      </c>
      <c r="H100" s="18">
        <f>IF(OR(OR(B100="",C100="",D100="",E100="",B100=0,D100=0),C100=0),"",G100/F100-1)</f>
        <v/>
      </c>
      <c r="I100" s="12">
        <f>IF(OR(OR(B100="",C100="",D100="",E100="",B100=0,D100=0),C100+E100=0,C100+E100=B100+D100),"",2*(1-NORMSDIST(ABS(G100-F100)/SQRT((C100+E100)/(B100+D100)*(1-(C100+E100)/(B100+D100))*(1/B100+1/D100)))))</f>
        <v/>
      </c>
      <c r="J100" s="12">
        <f>IF(OR(B100="",D100="",B100+D100=0),"",2*(1-NORMSDIST(ABS(B100-(B100+D100)*$B$10)/SQRT((B100+D100)*$B$10*(1-$B$10)))))</f>
        <v/>
      </c>
      <c r="K100" s="19">
        <f>IF(J100="","",IF(J100&lt;0.001,"split skew",IF(I100="","",IF(I100&lt;$B$9,"significant — false positive","no difference"))))</f>
        <v/>
      </c>
    </row>
    <row r="101">
      <c r="A101" s="15" t="n"/>
      <c r="B101" s="16" t="n"/>
      <c r="C101" s="16" t="n"/>
      <c r="D101" s="16" t="n"/>
      <c r="E101" s="16" t="n"/>
      <c r="F101" s="17">
        <f>IF(OR(B101="",C101="",D101="",E101="",B101=0,D101=0),"",C101/B101)</f>
        <v/>
      </c>
      <c r="G101" s="17">
        <f>IF(OR(B101="",C101="",D101="",E101="",B101=0,D101=0),"",E101/D101)</f>
        <v/>
      </c>
      <c r="H101" s="18">
        <f>IF(OR(OR(B101="",C101="",D101="",E101="",B101=0,D101=0),C101=0),"",G101/F101-1)</f>
        <v/>
      </c>
      <c r="I101" s="12">
        <f>IF(OR(OR(B101="",C101="",D101="",E101="",B101=0,D101=0),C101+E101=0,C101+E101=B101+D101),"",2*(1-NORMSDIST(ABS(G101-F101)/SQRT((C101+E101)/(B101+D101)*(1-(C101+E101)/(B101+D101))*(1/B101+1/D101)))))</f>
        <v/>
      </c>
      <c r="J101" s="12">
        <f>IF(OR(B101="",D101="",B101+D101=0),"",2*(1-NORMSDIST(ABS(B101-(B101+D101)*$B$10)/SQRT((B101+D101)*$B$10*(1-$B$10)))))</f>
        <v/>
      </c>
      <c r="K101" s="19">
        <f>IF(J101="","",IF(J101&lt;0.001,"split skew",IF(I101="","",IF(I101&lt;$B$9,"significant — false positive","no difference"))))</f>
        <v/>
      </c>
    </row>
    <row r="102">
      <c r="A102" s="15" t="n"/>
      <c r="B102" s="16" t="n"/>
      <c r="C102" s="16" t="n"/>
      <c r="D102" s="16" t="n"/>
      <c r="E102" s="16" t="n"/>
      <c r="F102" s="17">
        <f>IF(OR(B102="",C102="",D102="",E102="",B102=0,D102=0),"",C102/B102)</f>
        <v/>
      </c>
      <c r="G102" s="17">
        <f>IF(OR(B102="",C102="",D102="",E102="",B102=0,D102=0),"",E102/D102)</f>
        <v/>
      </c>
      <c r="H102" s="18">
        <f>IF(OR(OR(B102="",C102="",D102="",E102="",B102=0,D102=0),C102=0),"",G102/F102-1)</f>
        <v/>
      </c>
      <c r="I102" s="12">
        <f>IF(OR(OR(B102="",C102="",D102="",E102="",B102=0,D102=0),C102+E102=0,C102+E102=B102+D102),"",2*(1-NORMSDIST(ABS(G102-F102)/SQRT((C102+E102)/(B102+D102)*(1-(C102+E102)/(B102+D102))*(1/B102+1/D102)))))</f>
        <v/>
      </c>
      <c r="J102" s="12">
        <f>IF(OR(B102="",D102="",B102+D102=0),"",2*(1-NORMSDIST(ABS(B102-(B102+D102)*$B$10)/SQRT((B102+D102)*$B$10*(1-$B$10)))))</f>
        <v/>
      </c>
      <c r="K102" s="19">
        <f>IF(J102="","",IF(J102&lt;0.001,"split skew",IF(I102="","",IF(I102&lt;$B$9,"significant — false positive","no difference"))))</f>
        <v/>
      </c>
    </row>
    <row r="103">
      <c r="A103" s="15" t="n"/>
      <c r="B103" s="16" t="n"/>
      <c r="C103" s="16" t="n"/>
      <c r="D103" s="16" t="n"/>
      <c r="E103" s="16" t="n"/>
      <c r="F103" s="17">
        <f>IF(OR(B103="",C103="",D103="",E103="",B103=0,D103=0),"",C103/B103)</f>
        <v/>
      </c>
      <c r="G103" s="17">
        <f>IF(OR(B103="",C103="",D103="",E103="",B103=0,D103=0),"",E103/D103)</f>
        <v/>
      </c>
      <c r="H103" s="18">
        <f>IF(OR(OR(B103="",C103="",D103="",E103="",B103=0,D103=0),C103=0),"",G103/F103-1)</f>
        <v/>
      </c>
      <c r="I103" s="12">
        <f>IF(OR(OR(B103="",C103="",D103="",E103="",B103=0,D103=0),C103+E103=0,C103+E103=B103+D103),"",2*(1-NORMSDIST(ABS(G103-F103)/SQRT((C103+E103)/(B103+D103)*(1-(C103+E103)/(B103+D103))*(1/B103+1/D103)))))</f>
        <v/>
      </c>
      <c r="J103" s="12">
        <f>IF(OR(B103="",D103="",B103+D103=0),"",2*(1-NORMSDIST(ABS(B103-(B103+D103)*$B$10)/SQRT((B103+D103)*$B$10*(1-$B$10)))))</f>
        <v/>
      </c>
      <c r="K103" s="19">
        <f>IF(J103="","",IF(J103&lt;0.001,"split skew",IF(I103="","",IF(I103&lt;$B$9,"significant — false positive","no difference"))))</f>
        <v/>
      </c>
    </row>
    <row r="104">
      <c r="A104" s="15" t="n"/>
      <c r="B104" s="16" t="n"/>
      <c r="C104" s="16" t="n"/>
      <c r="D104" s="16" t="n"/>
      <c r="E104" s="16" t="n"/>
      <c r="F104" s="17">
        <f>IF(OR(B104="",C104="",D104="",E104="",B104=0,D104=0),"",C104/B104)</f>
        <v/>
      </c>
      <c r="G104" s="17">
        <f>IF(OR(B104="",C104="",D104="",E104="",B104=0,D104=0),"",E104/D104)</f>
        <v/>
      </c>
      <c r="H104" s="18">
        <f>IF(OR(OR(B104="",C104="",D104="",E104="",B104=0,D104=0),C104=0),"",G104/F104-1)</f>
        <v/>
      </c>
      <c r="I104" s="12">
        <f>IF(OR(OR(B104="",C104="",D104="",E104="",B104=0,D104=0),C104+E104=0,C104+E104=B104+D104),"",2*(1-NORMSDIST(ABS(G104-F104)/SQRT((C104+E104)/(B104+D104)*(1-(C104+E104)/(B104+D104))*(1/B104+1/D104)))))</f>
        <v/>
      </c>
      <c r="J104" s="12">
        <f>IF(OR(B104="",D104="",B104+D104=0),"",2*(1-NORMSDIST(ABS(B104-(B104+D104)*$B$10)/SQRT((B104+D104)*$B$10*(1-$B$10)))))</f>
        <v/>
      </c>
      <c r="K104" s="19">
        <f>IF(J104="","",IF(J104&lt;0.001,"split skew",IF(I104="","",IF(I104&lt;$B$9,"significant — false positive","no difference"))))</f>
        <v/>
      </c>
    </row>
    <row r="105">
      <c r="A105" s="15" t="n"/>
      <c r="B105" s="16" t="n"/>
      <c r="C105" s="16" t="n"/>
      <c r="D105" s="16" t="n"/>
      <c r="E105" s="16" t="n"/>
      <c r="F105" s="17">
        <f>IF(OR(B105="",C105="",D105="",E105="",B105=0,D105=0),"",C105/B105)</f>
        <v/>
      </c>
      <c r="G105" s="17">
        <f>IF(OR(B105="",C105="",D105="",E105="",B105=0,D105=0),"",E105/D105)</f>
        <v/>
      </c>
      <c r="H105" s="18">
        <f>IF(OR(OR(B105="",C105="",D105="",E105="",B105=0,D105=0),C105=0),"",G105/F105-1)</f>
        <v/>
      </c>
      <c r="I105" s="12">
        <f>IF(OR(OR(B105="",C105="",D105="",E105="",B105=0,D105=0),C105+E105=0,C105+E105=B105+D105),"",2*(1-NORMSDIST(ABS(G105-F105)/SQRT((C105+E105)/(B105+D105)*(1-(C105+E105)/(B105+D105))*(1/B105+1/D105)))))</f>
        <v/>
      </c>
      <c r="J105" s="12">
        <f>IF(OR(B105="",D105="",B105+D105=0),"",2*(1-NORMSDIST(ABS(B105-(B105+D105)*$B$10)/SQRT((B105+D105)*$B$10*(1-$B$10)))))</f>
        <v/>
      </c>
      <c r="K105" s="19">
        <f>IF(J105="","",IF(J105&lt;0.001,"split skew",IF(I105="","",IF(I105&lt;$B$9,"significant — false positive","no difference"))))</f>
        <v/>
      </c>
    </row>
    <row r="106">
      <c r="A106" s="15" t="n"/>
      <c r="B106" s="16" t="n"/>
      <c r="C106" s="16" t="n"/>
      <c r="D106" s="16" t="n"/>
      <c r="E106" s="16" t="n"/>
      <c r="F106" s="17">
        <f>IF(OR(B106="",C106="",D106="",E106="",B106=0,D106=0),"",C106/B106)</f>
        <v/>
      </c>
      <c r="G106" s="17">
        <f>IF(OR(B106="",C106="",D106="",E106="",B106=0,D106=0),"",E106/D106)</f>
        <v/>
      </c>
      <c r="H106" s="18">
        <f>IF(OR(OR(B106="",C106="",D106="",E106="",B106=0,D106=0),C106=0),"",G106/F106-1)</f>
        <v/>
      </c>
      <c r="I106" s="12">
        <f>IF(OR(OR(B106="",C106="",D106="",E106="",B106=0,D106=0),C106+E106=0,C106+E106=B106+D106),"",2*(1-NORMSDIST(ABS(G106-F106)/SQRT((C106+E106)/(B106+D106)*(1-(C106+E106)/(B106+D106))*(1/B106+1/D106)))))</f>
        <v/>
      </c>
      <c r="J106" s="12">
        <f>IF(OR(B106="",D106="",B106+D106=0),"",2*(1-NORMSDIST(ABS(B106-(B106+D106)*$B$10)/SQRT((B106+D106)*$B$10*(1-$B$10)))))</f>
        <v/>
      </c>
      <c r="K106" s="19">
        <f>IF(J106="","",IF(J106&lt;0.001,"split skew",IF(I106="","",IF(I106&lt;$B$9,"significant — false positive","no difference"))))</f>
        <v/>
      </c>
    </row>
    <row r="107">
      <c r="A107" s="15" t="n"/>
      <c r="B107" s="16" t="n"/>
      <c r="C107" s="16" t="n"/>
      <c r="D107" s="16" t="n"/>
      <c r="E107" s="16" t="n"/>
      <c r="F107" s="17">
        <f>IF(OR(B107="",C107="",D107="",E107="",B107=0,D107=0),"",C107/B107)</f>
        <v/>
      </c>
      <c r="G107" s="17">
        <f>IF(OR(B107="",C107="",D107="",E107="",B107=0,D107=0),"",E107/D107)</f>
        <v/>
      </c>
      <c r="H107" s="18">
        <f>IF(OR(OR(B107="",C107="",D107="",E107="",B107=0,D107=0),C107=0),"",G107/F107-1)</f>
        <v/>
      </c>
      <c r="I107" s="12">
        <f>IF(OR(OR(B107="",C107="",D107="",E107="",B107=0,D107=0),C107+E107=0,C107+E107=B107+D107),"",2*(1-NORMSDIST(ABS(G107-F107)/SQRT((C107+E107)/(B107+D107)*(1-(C107+E107)/(B107+D107))*(1/B107+1/D107)))))</f>
        <v/>
      </c>
      <c r="J107" s="12">
        <f>IF(OR(B107="",D107="",B107+D107=0),"",2*(1-NORMSDIST(ABS(B107-(B107+D107)*$B$10)/SQRT((B107+D107)*$B$10*(1-$B$10)))))</f>
        <v/>
      </c>
      <c r="K107" s="19">
        <f>IF(J107="","",IF(J107&lt;0.001,"split skew",IF(I107="","",IF(I107&lt;$B$9,"significant — false positive","no difference"))))</f>
        <v/>
      </c>
    </row>
    <row r="108">
      <c r="A108" s="15" t="n"/>
      <c r="B108" s="16" t="n"/>
      <c r="C108" s="16" t="n"/>
      <c r="D108" s="16" t="n"/>
      <c r="E108" s="16" t="n"/>
      <c r="F108" s="17">
        <f>IF(OR(B108="",C108="",D108="",E108="",B108=0,D108=0),"",C108/B108)</f>
        <v/>
      </c>
      <c r="G108" s="17">
        <f>IF(OR(B108="",C108="",D108="",E108="",B108=0,D108=0),"",E108/D108)</f>
        <v/>
      </c>
      <c r="H108" s="18">
        <f>IF(OR(OR(B108="",C108="",D108="",E108="",B108=0,D108=0),C108=0),"",G108/F108-1)</f>
        <v/>
      </c>
      <c r="I108" s="12">
        <f>IF(OR(OR(B108="",C108="",D108="",E108="",B108=0,D108=0),C108+E108=0,C108+E108=B108+D108),"",2*(1-NORMSDIST(ABS(G108-F108)/SQRT((C108+E108)/(B108+D108)*(1-(C108+E108)/(B108+D108))*(1/B108+1/D108)))))</f>
        <v/>
      </c>
      <c r="J108" s="12">
        <f>IF(OR(B108="",D108="",B108+D108=0),"",2*(1-NORMSDIST(ABS(B108-(B108+D108)*$B$10)/SQRT((B108+D108)*$B$10*(1-$B$10)))))</f>
        <v/>
      </c>
      <c r="K108" s="19">
        <f>IF(J108="","",IF(J108&lt;0.001,"split skew",IF(I108="","",IF(I108&lt;$B$9,"significant — false positive","no difference"))))</f>
        <v/>
      </c>
    </row>
    <row r="109">
      <c r="A109" s="15" t="n"/>
      <c r="B109" s="16" t="n"/>
      <c r="C109" s="16" t="n"/>
      <c r="D109" s="16" t="n"/>
      <c r="E109" s="16" t="n"/>
      <c r="F109" s="17">
        <f>IF(OR(B109="",C109="",D109="",E109="",B109=0,D109=0),"",C109/B109)</f>
        <v/>
      </c>
      <c r="G109" s="17">
        <f>IF(OR(B109="",C109="",D109="",E109="",B109=0,D109=0),"",E109/D109)</f>
        <v/>
      </c>
      <c r="H109" s="18">
        <f>IF(OR(OR(B109="",C109="",D109="",E109="",B109=0,D109=0),C109=0),"",G109/F109-1)</f>
        <v/>
      </c>
      <c r="I109" s="12">
        <f>IF(OR(OR(B109="",C109="",D109="",E109="",B109=0,D109=0),C109+E109=0,C109+E109=B109+D109),"",2*(1-NORMSDIST(ABS(G109-F109)/SQRT((C109+E109)/(B109+D109)*(1-(C109+E109)/(B109+D109))*(1/B109+1/D109)))))</f>
        <v/>
      </c>
      <c r="J109" s="12">
        <f>IF(OR(B109="",D109="",B109+D109=0),"",2*(1-NORMSDIST(ABS(B109-(B109+D109)*$B$10)/SQRT((B109+D109)*$B$10*(1-$B$10)))))</f>
        <v/>
      </c>
      <c r="K109" s="19">
        <f>IF(J109="","",IF(J109&lt;0.001,"split skew",IF(I109="","",IF(I109&lt;$B$9,"significant — false positive","no difference"))))</f>
        <v/>
      </c>
    </row>
    <row r="110">
      <c r="A110" s="15" t="n"/>
      <c r="B110" s="16" t="n"/>
      <c r="C110" s="16" t="n"/>
      <c r="D110" s="16" t="n"/>
      <c r="E110" s="16" t="n"/>
      <c r="F110" s="17">
        <f>IF(OR(B110="",C110="",D110="",E110="",B110=0,D110=0),"",C110/B110)</f>
        <v/>
      </c>
      <c r="G110" s="17">
        <f>IF(OR(B110="",C110="",D110="",E110="",B110=0,D110=0),"",E110/D110)</f>
        <v/>
      </c>
      <c r="H110" s="18">
        <f>IF(OR(OR(B110="",C110="",D110="",E110="",B110=0,D110=0),C110=0),"",G110/F110-1)</f>
        <v/>
      </c>
      <c r="I110" s="12">
        <f>IF(OR(OR(B110="",C110="",D110="",E110="",B110=0,D110=0),C110+E110=0,C110+E110=B110+D110),"",2*(1-NORMSDIST(ABS(G110-F110)/SQRT((C110+E110)/(B110+D110)*(1-(C110+E110)/(B110+D110))*(1/B110+1/D110)))))</f>
        <v/>
      </c>
      <c r="J110" s="12">
        <f>IF(OR(B110="",D110="",B110+D110=0),"",2*(1-NORMSDIST(ABS(B110-(B110+D110)*$B$10)/SQRT((B110+D110)*$B$10*(1-$B$10)))))</f>
        <v/>
      </c>
      <c r="K110" s="19">
        <f>IF(J110="","",IF(J110&lt;0.001,"split skew",IF(I110="","",IF(I110&lt;$B$9,"significant — false positive","no difference"))))</f>
        <v/>
      </c>
    </row>
    <row r="111">
      <c r="A111" s="15" t="n"/>
      <c r="B111" s="16" t="n"/>
      <c r="C111" s="16" t="n"/>
      <c r="D111" s="16" t="n"/>
      <c r="E111" s="16" t="n"/>
      <c r="F111" s="17">
        <f>IF(OR(B111="",C111="",D111="",E111="",B111=0,D111=0),"",C111/B111)</f>
        <v/>
      </c>
      <c r="G111" s="17">
        <f>IF(OR(B111="",C111="",D111="",E111="",B111=0,D111=0),"",E111/D111)</f>
        <v/>
      </c>
      <c r="H111" s="18">
        <f>IF(OR(OR(B111="",C111="",D111="",E111="",B111=0,D111=0),C111=0),"",G111/F111-1)</f>
        <v/>
      </c>
      <c r="I111" s="12">
        <f>IF(OR(OR(B111="",C111="",D111="",E111="",B111=0,D111=0),C111+E111=0,C111+E111=B111+D111),"",2*(1-NORMSDIST(ABS(G111-F111)/SQRT((C111+E111)/(B111+D111)*(1-(C111+E111)/(B111+D111))*(1/B111+1/D111)))))</f>
        <v/>
      </c>
      <c r="J111" s="12">
        <f>IF(OR(B111="",D111="",B111+D111=0),"",2*(1-NORMSDIST(ABS(B111-(B111+D111)*$B$10)/SQRT((B111+D111)*$B$10*(1-$B$10)))))</f>
        <v/>
      </c>
      <c r="K111" s="19">
        <f>IF(J111="","",IF(J111&lt;0.001,"split skew",IF(I111="","",IF(I111&lt;$B$9,"significant — false positive","no difference"))))</f>
        <v/>
      </c>
    </row>
    <row r="112">
      <c r="A112" s="15" t="n"/>
      <c r="B112" s="16" t="n"/>
      <c r="C112" s="16" t="n"/>
      <c r="D112" s="16" t="n"/>
      <c r="E112" s="16" t="n"/>
      <c r="F112" s="17">
        <f>IF(OR(B112="",C112="",D112="",E112="",B112=0,D112=0),"",C112/B112)</f>
        <v/>
      </c>
      <c r="G112" s="17">
        <f>IF(OR(B112="",C112="",D112="",E112="",B112=0,D112=0),"",E112/D112)</f>
        <v/>
      </c>
      <c r="H112" s="18">
        <f>IF(OR(OR(B112="",C112="",D112="",E112="",B112=0,D112=0),C112=0),"",G112/F112-1)</f>
        <v/>
      </c>
      <c r="I112" s="12">
        <f>IF(OR(OR(B112="",C112="",D112="",E112="",B112=0,D112=0),C112+E112=0,C112+E112=B112+D112),"",2*(1-NORMSDIST(ABS(G112-F112)/SQRT((C112+E112)/(B112+D112)*(1-(C112+E112)/(B112+D112))*(1/B112+1/D112)))))</f>
        <v/>
      </c>
      <c r="J112" s="12">
        <f>IF(OR(B112="",D112="",B112+D112=0),"",2*(1-NORMSDIST(ABS(B112-(B112+D112)*$B$10)/SQRT((B112+D112)*$B$10*(1-$B$10)))))</f>
        <v/>
      </c>
      <c r="K112" s="19">
        <f>IF(J112="","",IF(J112&lt;0.001,"split skew",IF(I112="","",IF(I112&lt;$B$9,"significant — false positive","no difference"))))</f>
        <v/>
      </c>
    </row>
    <row r="113">
      <c r="A113" s="15" t="n"/>
      <c r="B113" s="16" t="n"/>
      <c r="C113" s="16" t="n"/>
      <c r="D113" s="16" t="n"/>
      <c r="E113" s="16" t="n"/>
      <c r="F113" s="17">
        <f>IF(OR(B113="",C113="",D113="",E113="",B113=0,D113=0),"",C113/B113)</f>
        <v/>
      </c>
      <c r="G113" s="17">
        <f>IF(OR(B113="",C113="",D113="",E113="",B113=0,D113=0),"",E113/D113)</f>
        <v/>
      </c>
      <c r="H113" s="18">
        <f>IF(OR(OR(B113="",C113="",D113="",E113="",B113=0,D113=0),C113=0),"",G113/F113-1)</f>
        <v/>
      </c>
      <c r="I113" s="12">
        <f>IF(OR(OR(B113="",C113="",D113="",E113="",B113=0,D113=0),C113+E113=0,C113+E113=B113+D113),"",2*(1-NORMSDIST(ABS(G113-F113)/SQRT((C113+E113)/(B113+D113)*(1-(C113+E113)/(B113+D113))*(1/B113+1/D113)))))</f>
        <v/>
      </c>
      <c r="J113" s="12">
        <f>IF(OR(B113="",D113="",B113+D113=0),"",2*(1-NORMSDIST(ABS(B113-(B113+D113)*$B$10)/SQRT((B113+D113)*$B$10*(1-$B$10)))))</f>
        <v/>
      </c>
      <c r="K113" s="19">
        <f>IF(J113="","",IF(J113&lt;0.001,"split skew",IF(I113="","",IF(I113&lt;$B$9,"significant — false positive","no difference"))))</f>
        <v/>
      </c>
    </row>
    <row r="114">
      <c r="A114" s="15" t="n"/>
      <c r="B114" s="16" t="n"/>
      <c r="C114" s="16" t="n"/>
      <c r="D114" s="16" t="n"/>
      <c r="E114" s="16" t="n"/>
      <c r="F114" s="17">
        <f>IF(OR(B114="",C114="",D114="",E114="",B114=0,D114=0),"",C114/B114)</f>
        <v/>
      </c>
      <c r="G114" s="17">
        <f>IF(OR(B114="",C114="",D114="",E114="",B114=0,D114=0),"",E114/D114)</f>
        <v/>
      </c>
      <c r="H114" s="18">
        <f>IF(OR(OR(B114="",C114="",D114="",E114="",B114=0,D114=0),C114=0),"",G114/F114-1)</f>
        <v/>
      </c>
      <c r="I114" s="12">
        <f>IF(OR(OR(B114="",C114="",D114="",E114="",B114=0,D114=0),C114+E114=0,C114+E114=B114+D114),"",2*(1-NORMSDIST(ABS(G114-F114)/SQRT((C114+E114)/(B114+D114)*(1-(C114+E114)/(B114+D114))*(1/B114+1/D114)))))</f>
        <v/>
      </c>
      <c r="J114" s="12">
        <f>IF(OR(B114="",D114="",B114+D114=0),"",2*(1-NORMSDIST(ABS(B114-(B114+D114)*$B$10)/SQRT((B114+D114)*$B$10*(1-$B$10)))))</f>
        <v/>
      </c>
      <c r="K114" s="19">
        <f>IF(J114="","",IF(J114&lt;0.001,"split skew",IF(I114="","",IF(I114&lt;$B$9,"significant — false positive","no difference"))))</f>
        <v/>
      </c>
    </row>
    <row r="115">
      <c r="A115" s="15" t="n"/>
      <c r="B115" s="16" t="n"/>
      <c r="C115" s="16" t="n"/>
      <c r="D115" s="16" t="n"/>
      <c r="E115" s="16" t="n"/>
      <c r="F115" s="17">
        <f>IF(OR(B115="",C115="",D115="",E115="",B115=0,D115=0),"",C115/B115)</f>
        <v/>
      </c>
      <c r="G115" s="17">
        <f>IF(OR(B115="",C115="",D115="",E115="",B115=0,D115=0),"",E115/D115)</f>
        <v/>
      </c>
      <c r="H115" s="18">
        <f>IF(OR(OR(B115="",C115="",D115="",E115="",B115=0,D115=0),C115=0),"",G115/F115-1)</f>
        <v/>
      </c>
      <c r="I115" s="12">
        <f>IF(OR(OR(B115="",C115="",D115="",E115="",B115=0,D115=0),C115+E115=0,C115+E115=B115+D115),"",2*(1-NORMSDIST(ABS(G115-F115)/SQRT((C115+E115)/(B115+D115)*(1-(C115+E115)/(B115+D115))*(1/B115+1/D115)))))</f>
        <v/>
      </c>
      <c r="J115" s="12">
        <f>IF(OR(B115="",D115="",B115+D115=0),"",2*(1-NORMSDIST(ABS(B115-(B115+D115)*$B$10)/SQRT((B115+D115)*$B$10*(1-$B$10)))))</f>
        <v/>
      </c>
      <c r="K115" s="19">
        <f>IF(J115="","",IF(J115&lt;0.001,"split skew",IF(I115="","",IF(I115&lt;$B$9,"significant — false positive","no difference"))))</f>
        <v/>
      </c>
    </row>
    <row r="116">
      <c r="A116" s="15" t="n"/>
      <c r="B116" s="16" t="n"/>
      <c r="C116" s="16" t="n"/>
      <c r="D116" s="16" t="n"/>
      <c r="E116" s="16" t="n"/>
      <c r="F116" s="17">
        <f>IF(OR(B116="",C116="",D116="",E116="",B116=0,D116=0),"",C116/B116)</f>
        <v/>
      </c>
      <c r="G116" s="17">
        <f>IF(OR(B116="",C116="",D116="",E116="",B116=0,D116=0),"",E116/D116)</f>
        <v/>
      </c>
      <c r="H116" s="18">
        <f>IF(OR(OR(B116="",C116="",D116="",E116="",B116=0,D116=0),C116=0),"",G116/F116-1)</f>
        <v/>
      </c>
      <c r="I116" s="12">
        <f>IF(OR(OR(B116="",C116="",D116="",E116="",B116=0,D116=0),C116+E116=0,C116+E116=B116+D116),"",2*(1-NORMSDIST(ABS(G116-F116)/SQRT((C116+E116)/(B116+D116)*(1-(C116+E116)/(B116+D116))*(1/B116+1/D116)))))</f>
        <v/>
      </c>
      <c r="J116" s="12">
        <f>IF(OR(B116="",D116="",B116+D116=0),"",2*(1-NORMSDIST(ABS(B116-(B116+D116)*$B$10)/SQRT((B116+D116)*$B$10*(1-$B$10)))))</f>
        <v/>
      </c>
      <c r="K116" s="19">
        <f>IF(J116="","",IF(J116&lt;0.001,"split skew",IF(I116="","",IF(I116&lt;$B$9,"significant — false positive","no difference"))))</f>
        <v/>
      </c>
    </row>
    <row r="117">
      <c r="A117" s="15" t="n"/>
      <c r="B117" s="16" t="n"/>
      <c r="C117" s="16" t="n"/>
      <c r="D117" s="16" t="n"/>
      <c r="E117" s="16" t="n"/>
      <c r="F117" s="17">
        <f>IF(OR(B117="",C117="",D117="",E117="",B117=0,D117=0),"",C117/B117)</f>
        <v/>
      </c>
      <c r="G117" s="17">
        <f>IF(OR(B117="",C117="",D117="",E117="",B117=0,D117=0),"",E117/D117)</f>
        <v/>
      </c>
      <c r="H117" s="18">
        <f>IF(OR(OR(B117="",C117="",D117="",E117="",B117=0,D117=0),C117=0),"",G117/F117-1)</f>
        <v/>
      </c>
      <c r="I117" s="12">
        <f>IF(OR(OR(B117="",C117="",D117="",E117="",B117=0,D117=0),C117+E117=0,C117+E117=B117+D117),"",2*(1-NORMSDIST(ABS(G117-F117)/SQRT((C117+E117)/(B117+D117)*(1-(C117+E117)/(B117+D117))*(1/B117+1/D117)))))</f>
        <v/>
      </c>
      <c r="J117" s="12">
        <f>IF(OR(B117="",D117="",B117+D117=0),"",2*(1-NORMSDIST(ABS(B117-(B117+D117)*$B$10)/SQRT((B117+D117)*$B$10*(1-$B$10)))))</f>
        <v/>
      </c>
      <c r="K117" s="19">
        <f>IF(J117="","",IF(J117&lt;0.001,"split skew",IF(I117="","",IF(I117&lt;$B$9,"significant — false positive","no difference"))))</f>
        <v/>
      </c>
    </row>
    <row r="118">
      <c r="A118" s="15" t="n"/>
      <c r="B118" s="16" t="n"/>
      <c r="C118" s="16" t="n"/>
      <c r="D118" s="16" t="n"/>
      <c r="E118" s="16" t="n"/>
      <c r="F118" s="17">
        <f>IF(OR(B118="",C118="",D118="",E118="",B118=0,D118=0),"",C118/B118)</f>
        <v/>
      </c>
      <c r="G118" s="17">
        <f>IF(OR(B118="",C118="",D118="",E118="",B118=0,D118=0),"",E118/D118)</f>
        <v/>
      </c>
      <c r="H118" s="18">
        <f>IF(OR(OR(B118="",C118="",D118="",E118="",B118=0,D118=0),C118=0),"",G118/F118-1)</f>
        <v/>
      </c>
      <c r="I118" s="12">
        <f>IF(OR(OR(B118="",C118="",D118="",E118="",B118=0,D118=0),C118+E118=0,C118+E118=B118+D118),"",2*(1-NORMSDIST(ABS(G118-F118)/SQRT((C118+E118)/(B118+D118)*(1-(C118+E118)/(B118+D118))*(1/B118+1/D118)))))</f>
        <v/>
      </c>
      <c r="J118" s="12">
        <f>IF(OR(B118="",D118="",B118+D118=0),"",2*(1-NORMSDIST(ABS(B118-(B118+D118)*$B$10)/SQRT((B118+D118)*$B$10*(1-$B$10)))))</f>
        <v/>
      </c>
      <c r="K118" s="19">
        <f>IF(J118="","",IF(J118&lt;0.001,"split skew",IF(I118="","",IF(I118&lt;$B$9,"significant — false positive","no difference"))))</f>
        <v/>
      </c>
    </row>
    <row r="119">
      <c r="A119" s="15" t="n"/>
      <c r="B119" s="16" t="n"/>
      <c r="C119" s="16" t="n"/>
      <c r="D119" s="16" t="n"/>
      <c r="E119" s="16" t="n"/>
      <c r="F119" s="17">
        <f>IF(OR(B119="",C119="",D119="",E119="",B119=0,D119=0),"",C119/B119)</f>
        <v/>
      </c>
      <c r="G119" s="17">
        <f>IF(OR(B119="",C119="",D119="",E119="",B119=0,D119=0),"",E119/D119)</f>
        <v/>
      </c>
      <c r="H119" s="18">
        <f>IF(OR(OR(B119="",C119="",D119="",E119="",B119=0,D119=0),C119=0),"",G119/F119-1)</f>
        <v/>
      </c>
      <c r="I119" s="12">
        <f>IF(OR(OR(B119="",C119="",D119="",E119="",B119=0,D119=0),C119+E119=0,C119+E119=B119+D119),"",2*(1-NORMSDIST(ABS(G119-F119)/SQRT((C119+E119)/(B119+D119)*(1-(C119+E119)/(B119+D119))*(1/B119+1/D119)))))</f>
        <v/>
      </c>
      <c r="J119" s="12">
        <f>IF(OR(B119="",D119="",B119+D119=0),"",2*(1-NORMSDIST(ABS(B119-(B119+D119)*$B$10)/SQRT((B119+D119)*$B$10*(1-$B$10)))))</f>
        <v/>
      </c>
      <c r="K119" s="19">
        <f>IF(J119="","",IF(J119&lt;0.001,"split skew",IF(I119="","",IF(I119&lt;$B$9,"significant — false positive","no difference"))))</f>
        <v/>
      </c>
    </row>
    <row r="120">
      <c r="A120" s="15" t="n"/>
      <c r="B120" s="16" t="n"/>
      <c r="C120" s="16" t="n"/>
      <c r="D120" s="16" t="n"/>
      <c r="E120" s="16" t="n"/>
      <c r="F120" s="17">
        <f>IF(OR(B120="",C120="",D120="",E120="",B120=0,D120=0),"",C120/B120)</f>
        <v/>
      </c>
      <c r="G120" s="17">
        <f>IF(OR(B120="",C120="",D120="",E120="",B120=0,D120=0),"",E120/D120)</f>
        <v/>
      </c>
      <c r="H120" s="18">
        <f>IF(OR(OR(B120="",C120="",D120="",E120="",B120=0,D120=0),C120=0),"",G120/F120-1)</f>
        <v/>
      </c>
      <c r="I120" s="12">
        <f>IF(OR(OR(B120="",C120="",D120="",E120="",B120=0,D120=0),C120+E120=0,C120+E120=B120+D120),"",2*(1-NORMSDIST(ABS(G120-F120)/SQRT((C120+E120)/(B120+D120)*(1-(C120+E120)/(B120+D120))*(1/B120+1/D120)))))</f>
        <v/>
      </c>
      <c r="J120" s="12">
        <f>IF(OR(B120="",D120="",B120+D120=0),"",2*(1-NORMSDIST(ABS(B120-(B120+D120)*$B$10)/SQRT((B120+D120)*$B$10*(1-$B$10)))))</f>
        <v/>
      </c>
      <c r="K120" s="19">
        <f>IF(J120="","",IF(J120&lt;0.001,"split skew",IF(I120="","",IF(I120&lt;$B$9,"significant — false positive","no difference"))))</f>
        <v/>
      </c>
    </row>
    <row r="121">
      <c r="A121" s="15" t="n"/>
      <c r="B121" s="16" t="n"/>
      <c r="C121" s="16" t="n"/>
      <c r="D121" s="16" t="n"/>
      <c r="E121" s="16" t="n"/>
      <c r="F121" s="17">
        <f>IF(OR(B121="",C121="",D121="",E121="",B121=0,D121=0),"",C121/B121)</f>
        <v/>
      </c>
      <c r="G121" s="17">
        <f>IF(OR(B121="",C121="",D121="",E121="",B121=0,D121=0),"",E121/D121)</f>
        <v/>
      </c>
      <c r="H121" s="18">
        <f>IF(OR(OR(B121="",C121="",D121="",E121="",B121=0,D121=0),C121=0),"",G121/F121-1)</f>
        <v/>
      </c>
      <c r="I121" s="12">
        <f>IF(OR(OR(B121="",C121="",D121="",E121="",B121=0,D121=0),C121+E121=0,C121+E121=B121+D121),"",2*(1-NORMSDIST(ABS(G121-F121)/SQRT((C121+E121)/(B121+D121)*(1-(C121+E121)/(B121+D121))*(1/B121+1/D121)))))</f>
        <v/>
      </c>
      <c r="J121" s="12">
        <f>IF(OR(B121="",D121="",B121+D121=0),"",2*(1-NORMSDIST(ABS(B121-(B121+D121)*$B$10)/SQRT((B121+D121)*$B$10*(1-$B$10)))))</f>
        <v/>
      </c>
      <c r="K121" s="19">
        <f>IF(J121="","",IF(J121&lt;0.001,"split skew",IF(I121="","",IF(I121&lt;$B$9,"significant — false positive","no difference"))))</f>
        <v/>
      </c>
    </row>
    <row r="122">
      <c r="A122" s="15" t="n"/>
      <c r="B122" s="16" t="n"/>
      <c r="C122" s="16" t="n"/>
      <c r="D122" s="16" t="n"/>
      <c r="E122" s="16" t="n"/>
      <c r="F122" s="17">
        <f>IF(OR(B122="",C122="",D122="",E122="",B122=0,D122=0),"",C122/B122)</f>
        <v/>
      </c>
      <c r="G122" s="17">
        <f>IF(OR(B122="",C122="",D122="",E122="",B122=0,D122=0),"",E122/D122)</f>
        <v/>
      </c>
      <c r="H122" s="18">
        <f>IF(OR(OR(B122="",C122="",D122="",E122="",B122=0,D122=0),C122=0),"",G122/F122-1)</f>
        <v/>
      </c>
      <c r="I122" s="12">
        <f>IF(OR(OR(B122="",C122="",D122="",E122="",B122=0,D122=0),C122+E122=0,C122+E122=B122+D122),"",2*(1-NORMSDIST(ABS(G122-F122)/SQRT((C122+E122)/(B122+D122)*(1-(C122+E122)/(B122+D122))*(1/B122+1/D122)))))</f>
        <v/>
      </c>
      <c r="J122" s="12">
        <f>IF(OR(B122="",D122="",B122+D122=0),"",2*(1-NORMSDIST(ABS(B122-(B122+D122)*$B$10)/SQRT((B122+D122)*$B$10*(1-$B$10)))))</f>
        <v/>
      </c>
      <c r="K122" s="19">
        <f>IF(J122="","",IF(J122&lt;0.001,"split skew",IF(I122="","",IF(I122&lt;$B$9,"significant — false positive","no difference"))))</f>
        <v/>
      </c>
    </row>
    <row r="123">
      <c r="A123" s="15" t="n"/>
      <c r="B123" s="16" t="n"/>
      <c r="C123" s="16" t="n"/>
      <c r="D123" s="16" t="n"/>
      <c r="E123" s="16" t="n"/>
      <c r="F123" s="17">
        <f>IF(OR(B123="",C123="",D123="",E123="",B123=0,D123=0),"",C123/B123)</f>
        <v/>
      </c>
      <c r="G123" s="17">
        <f>IF(OR(B123="",C123="",D123="",E123="",B123=0,D123=0),"",E123/D123)</f>
        <v/>
      </c>
      <c r="H123" s="18">
        <f>IF(OR(OR(B123="",C123="",D123="",E123="",B123=0,D123=0),C123=0),"",G123/F123-1)</f>
        <v/>
      </c>
      <c r="I123" s="12">
        <f>IF(OR(OR(B123="",C123="",D123="",E123="",B123=0,D123=0),C123+E123=0,C123+E123=B123+D123),"",2*(1-NORMSDIST(ABS(G123-F123)/SQRT((C123+E123)/(B123+D123)*(1-(C123+E123)/(B123+D123))*(1/B123+1/D123)))))</f>
        <v/>
      </c>
      <c r="J123" s="12">
        <f>IF(OR(B123="",D123="",B123+D123=0),"",2*(1-NORMSDIST(ABS(B123-(B123+D123)*$B$10)/SQRT((B123+D123)*$B$10*(1-$B$10)))))</f>
        <v/>
      </c>
      <c r="K123" s="19">
        <f>IF(J123="","",IF(J123&lt;0.001,"split skew",IF(I123="","",IF(I123&lt;$B$9,"significant — false positive","no difference"))))</f>
        <v/>
      </c>
    </row>
    <row r="124">
      <c r="A124" s="15" t="n"/>
      <c r="B124" s="16" t="n"/>
      <c r="C124" s="16" t="n"/>
      <c r="D124" s="16" t="n"/>
      <c r="E124" s="16" t="n"/>
      <c r="F124" s="17">
        <f>IF(OR(B124="",C124="",D124="",E124="",B124=0,D124=0),"",C124/B124)</f>
        <v/>
      </c>
      <c r="G124" s="17">
        <f>IF(OR(B124="",C124="",D124="",E124="",B124=0,D124=0),"",E124/D124)</f>
        <v/>
      </c>
      <c r="H124" s="18">
        <f>IF(OR(OR(B124="",C124="",D124="",E124="",B124=0,D124=0),C124=0),"",G124/F124-1)</f>
        <v/>
      </c>
      <c r="I124" s="12">
        <f>IF(OR(OR(B124="",C124="",D124="",E124="",B124=0,D124=0),C124+E124=0,C124+E124=B124+D124),"",2*(1-NORMSDIST(ABS(G124-F124)/SQRT((C124+E124)/(B124+D124)*(1-(C124+E124)/(B124+D124))*(1/B124+1/D124)))))</f>
        <v/>
      </c>
      <c r="J124" s="12">
        <f>IF(OR(B124="",D124="",B124+D124=0),"",2*(1-NORMSDIST(ABS(B124-(B124+D124)*$B$10)/SQRT((B124+D124)*$B$10*(1-$B$10)))))</f>
        <v/>
      </c>
      <c r="K124" s="19">
        <f>IF(J124="","",IF(J124&lt;0.001,"split skew",IF(I124="","",IF(I124&lt;$B$9,"significant — false positive","no difference"))))</f>
        <v/>
      </c>
    </row>
  </sheetData>
  <mergeCells count="12">
    <mergeCell ref="C16:K16"/>
    <mergeCell ref="C15:K15"/>
    <mergeCell ref="B4:K4"/>
    <mergeCell ref="C18:K18"/>
    <mergeCell ref="B7:K7"/>
    <mergeCell ref="C17:K17"/>
    <mergeCell ref="B6:K6"/>
    <mergeCell ref="B20:K20"/>
    <mergeCell ref="N12:P12"/>
    <mergeCell ref="A1:K1"/>
    <mergeCell ref="B3:K3"/>
    <mergeCell ref="B5:K5"/>
  </mergeCells>
  <dataValidations count="2">
    <dataValidation sqref="B9" showDropDown="0" showInputMessage="0" showErrorMessage="1" allowBlank="1" error="α — from 0.1% to 20%" type="decimal" errorStyle="warning" operator="between">
      <formula1>0.001</formula1>
      <formula2>0.2</formula2>
    </dataValidation>
    <dataValidation sqref="B10" showDropDown="0" showInputMessage="0" showErrorMessage="1" allowBlank="1" error="Share — from 1% to 99%" type="decimal" errorStyle="warning" operator="between">
      <formula1>0.01</formula1>
      <formula2>0.99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2026-10-22T07:05:45Z</dcterms:created>
  <dcterms:modified xmlns:dcterms="http://purl.org/dc/terms/" xmlns:xsi="http://www.w3.org/2001/XMLSchema-instance" xsi:type="dcterms:W3CDTF">2026-10-22T07:05:45Z</dcterms:modified>
</cp:coreProperties>
</file>