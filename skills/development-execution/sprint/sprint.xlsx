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y" sheetId="2" state="visible" r:id="rId2"/>
  </sheets>
  <definedNames>
    <definedName name="data_start">'Sprint'!$B$8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pivotButton="0" quotePrefix="0" xfId="0"/>
    <xf numFmtId="1" fontId="3" fillId="2" borderId="0" pivotButton="0" quotePrefix="0" xfId="0"/>
    <xf numFmtId="164" fontId="3" fillId="2" borderId="0" pivotButton="0" quotePrefix="0" xfId="0"/>
    <xf numFmtId="9" fontId="3" fillId="2" borderId="0" pivotButton="0" quotePrefix="0" xfId="0"/>
    <xf numFmtId="164" fontId="4" fillId="2" borderId="0" applyAlignment="1" pivotButton="0" quotePrefix="0" xfId="0">
      <alignment vertical="top" wrapText="1"/>
    </xf>
    <xf numFmtId="9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pdm-skills</author>
  </authors>
  <commentList>
    <comment ref="C4" authorId="0" shapeId="0">
      <text>
        <t>How much the team is ready to take, in the units of the "Estimate" column: capacity accounting for time off and the results of past sprints. A guide, not a hard limit.</t>
      </text>
    </comment>
    <comment ref="G4" authorId="0" shapeId="0">
      <text>
        <t>Filled in at the sprint review: yes, partly or no.</t>
      </text>
    </comment>
    <comment ref="A7" authorId="0" shapeId="0">
      <text>
        <t>Calculated automatically.</t>
      </text>
    </comment>
    <comment ref="B7" authorId="0" shapeId="0">
      <text>
        <t>An item from the product's shared work list, taken into the sprint. The most important at the top.</t>
      </text>
    </comment>
    <comment ref="C7" authorId="0" shapeId="0">
      <text>
        <t>"yes" — the item is needed for the sprint goal. The other items are done if there is capacity.</t>
      </text>
    </comment>
    <comment ref="D7" authorId="0" shapeId="0">
      <text>
        <t>The plan: subtasks or steps to a finished result.</t>
      </text>
    </comment>
    <comment ref="E7" authorId="0" shapeId="0">
      <text>
        <t>Who takes the item. The team distributes the work itself.</t>
      </text>
    </comment>
    <comment ref="F7" authorId="0" shapeId="0">
      <text>
        <t>An estimate by those who will do the work, in the units from row 4.</t>
      </text>
    </comment>
    <comment ref="G7" authorId="0" shapeId="0">
      <text>
        <t>"planned" — taken at planning; "added" — came in during the sprint.</t>
      </text>
    </comment>
    <comment ref="H7" authorId="0" shapeId="0">
      <text>
        <t>"yes" — the item meets the team's definition of done. Filled in at the end of the sprint.</t>
      </text>
    </comment>
    <comment ref="I7" authorId="0" shapeId="0">
      <text>
        <t>For unfinished items: return to the shared list, carry over to the next sprint, cancel — and why.</t>
      </text>
    </comment>
    <comment ref="K8" authorId="0" shapeId="0">
      <text>
        <t>How many items are in the sprint.</t>
      </text>
    </comment>
    <comment ref="K9" authorId="0" shapeId="0">
      <text>
        <t>Zero — there is no goal, the sprint became a task list. All — the goal most likely just restates the items.</t>
      </text>
    </comment>
    <comment ref="K10" authorId="0" shapeId="0">
      <text>
        <t>The sum of estimates of "planned" items.</t>
      </text>
    </comment>
    <comment ref="K11" authorId="0" shapeId="0">
      <text>
        <t>What was taken at planning divided by the limit. Above 100% — the team promises more than it has delivered before.</t>
      </text>
    </comment>
    <comment ref="K12" authorId="0" shapeId="0">
      <text>
        <t>Work that arrived after planning. Its volume hints at how much reserve to leave.</t>
      </text>
    </comment>
    <comment ref="K13" authorId="0" shapeId="0">
      <text>
        <t>The sum of estimates of items without "yes" in the "Done" column.</t>
      </text>
    </comment>
    <comment ref="K14" authorId="0" shapeId="0">
      <text>
        <t>Not done divided by everything taken and added.</t>
      </text>
    </comment>
    <comment ref="K15" authorId="0" shapeId="0">
      <text>
        <t>More than zero at the end of the sprint — the goal is at risk, even if the rest is done.</t>
      </text>
    </comment>
  </commentList>
</comments>
</file>

<file path=xl/comments/comment2.xml><?xml version="1.0" encoding="utf-8"?>
<comments xmlns="http://schemas.openxmlformats.org/spreadsheetml/2006/main">
  <authors>
    <author>pdm-skills</author>
  </authors>
  <commentList>
    <comment ref="A4" authorId="0" shapeId="0">
      <text>
        <t>Number or dates.</t>
      </text>
    </comment>
    <comment ref="B4" authorId="0" shapeId="0">
      <text>
        <t>The goal statement.</t>
      </text>
    </comment>
    <comment ref="C4" authorId="0" shapeId="0">
      <text>
        <t>yes, partly or no.</t>
      </text>
    </comment>
    <comment ref="D4" authorId="0" shapeId="0">
      <text>
        <t>The limit the team agreed on at planning.</t>
      </text>
    </comment>
    <comment ref="E4" authorId="0" shapeId="0">
      <text>
        <t>Taken at planning, in estimate units.</t>
      </text>
    </comment>
    <comment ref="F4" authorId="0" shapeId="0">
      <text>
        <t>Added during the sprint, including growth of estimates.</t>
      </text>
    </comment>
    <comment ref="G4" authorId="0" shapeId="0">
      <text>
        <t>Removed from the sprint or not brought to done by its end.</t>
      </text>
    </comment>
    <comment ref="H4" authorId="0" shapeId="0">
      <text>
        <t>Calculated automatically: taken + added − not done.</t>
      </text>
    </comment>
    <comment ref="I4" authorId="0" shapeId="0">
      <text>
        <t>Calculated automatically: not done / (taken + added).</t>
      </text>
    </comment>
    <comment ref="J4" authorId="0" shapeId="0">
      <text>
        <t>Calculated automatically: "yes" if not done is 0.</t>
      </text>
    </comment>
    <comment ref="L5" authorId="0" shapeId="0">
      <text>
        <t>How many sprints are recorded.</t>
      </text>
    </comment>
    <comment ref="L6" authorId="0" shapeId="0">
      <text>
        <t>In how many sprints the goal was fully achieved.</t>
      </text>
    </comment>
    <comment ref="L7" authorId="0" shapeId="0">
      <text>
        <t>The benchmark of M. Cohn as retold by Rosbank: in 8 of the last 10 sprints the team did everything it promised.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9" customWidth="1" min="3" max="3"/>
    <col width="34" customWidth="1" min="4" max="4"/>
    <col width="14" customWidth="1" min="5" max="5"/>
    <col width="9" customWidth="1" min="6" max="6"/>
    <col width="11" customWidth="1" min="7" max="7"/>
    <col width="9" customWidth="1" min="8" max="8"/>
    <col width="28" customWidth="1" min="9" max="9"/>
    <col width="34" customWidth="1" min="11" max="11"/>
    <col width="12" customWidth="1" min="12" max="12"/>
  </cols>
  <sheetData>
    <row r="1">
      <c r="A1" s="1" t="inlineStr">
        <is>
          <t>Sprint: {{title: team, sprint number, start and end dates}}</t>
        </is>
      </c>
    </row>
    <row r="2" ht="32" customHeight="1">
      <c r="A2" s="2" t="inlineStr">
        <is>
          <t>Sprint goal:</t>
        </is>
      </c>
      <c r="C2" s="3" t="inlineStr">
        <is>
          <t>{{goal: sprint goal and why it matters now}}</t>
        </is>
      </c>
    </row>
    <row r="3" ht="18" customHeight="1">
      <c r="A3" s="2" t="inlineStr">
        <is>
          <t>Product goal:</t>
        </is>
      </c>
      <c r="C3" s="4" t="inlineStr">
        <is>
          <t>{{product_goal: what the sprint leads towards}}</t>
        </is>
      </c>
    </row>
    <row r="4">
      <c r="A4" s="2" t="inlineStr">
        <is>
          <t>Sprint limit:</t>
        </is>
      </c>
      <c r="C4" s="5" t="n"/>
      <c r="D4" s="2" t="inlineStr">
        <is>
          <t>{{unit: estimate unit}}</t>
        </is>
      </c>
      <c r="F4" s="2" t="inlineStr">
        <is>
          <t>Goal achieved:</t>
        </is>
      </c>
      <c r="G4" s="5" t="n"/>
    </row>
    <row r="5" ht="32" customHeight="1">
      <c r="A5" s="2" t="inlineStr">
        <is>
          <t>Review outcome:</t>
        </is>
      </c>
      <c r="C5" s="4" t="inlineStr">
        <is>
          <t>{{review: what was shown and decided next}}</t>
        </is>
      </c>
    </row>
    <row r="7" ht="30" customHeight="1">
      <c r="A7" s="6" t="inlineStr">
        <is>
          <t>#</t>
        </is>
      </c>
      <c r="B7" s="6" t="inlineStr">
        <is>
          <t>Item</t>
        </is>
      </c>
      <c r="C7" s="6" t="inlineStr">
        <is>
          <t>For the goal</t>
        </is>
      </c>
      <c r="D7" s="6" t="inlineStr">
        <is>
          <t>How we will do it</t>
        </is>
      </c>
      <c r="E7" s="6" t="inlineStr">
        <is>
          <t>Who</t>
        </is>
      </c>
      <c r="F7" s="6" t="inlineStr">
        <is>
          <t>Estimate</t>
        </is>
      </c>
      <c r="G7" s="6" t="inlineStr">
        <is>
          <t>Source</t>
        </is>
      </c>
      <c r="H7" s="6" t="inlineStr">
        <is>
          <t>Done</t>
        </is>
      </c>
      <c r="I7" s="6" t="inlineStr">
        <is>
          <t>What next</t>
        </is>
      </c>
      <c r="K7" s="7" t="inlineStr">
        <is>
          <t>Sprint results</t>
        </is>
      </c>
      <c r="L7" s="8" t="n"/>
    </row>
    <row r="8">
      <c r="A8" s="9">
        <f>IF(B8="","",COUNTA($B$8:B8))</f>
        <v/>
      </c>
      <c r="B8" s="4" t="n"/>
      <c r="C8" s="4" t="n"/>
      <c r="D8" s="4" t="n"/>
      <c r="E8" s="4" t="n"/>
      <c r="F8" s="4" t="n"/>
      <c r="G8" s="4" t="n"/>
      <c r="H8" s="4" t="n"/>
      <c r="I8" s="4" t="n"/>
      <c r="K8" s="10" t="inlineStr">
        <is>
          <t>Items</t>
        </is>
      </c>
      <c r="L8" s="11">
        <f>COUNTA($B$8:$B$57)</f>
        <v/>
      </c>
    </row>
    <row r="9">
      <c r="A9" s="9">
        <f>IF(B9="","",COUNTA($B$8:B9))</f>
        <v/>
      </c>
      <c r="B9" s="4" t="n"/>
      <c r="C9" s="4" t="n"/>
      <c r="D9" s="4" t="n"/>
      <c r="E9" s="4" t="n"/>
      <c r="F9" s="4" t="n"/>
      <c r="G9" s="4" t="n"/>
      <c r="H9" s="4" t="n"/>
      <c r="I9" s="4" t="n"/>
      <c r="K9" s="10" t="inlineStr">
        <is>
          <t>Of them for the goal</t>
        </is>
      </c>
      <c r="L9" s="11">
        <f>COUNTIF($C$8:$C$57,"yes")</f>
        <v/>
      </c>
    </row>
    <row r="10">
      <c r="A10" s="9">
        <f>IF(B10="","",COUNTA($B$8:B10))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K10" s="10" t="inlineStr">
        <is>
          <t>Taken at planning</t>
        </is>
      </c>
      <c r="L10" s="12">
        <f>SUMIF($G$8:$G$57,"planned",$F$8:$F$57)</f>
        <v/>
      </c>
    </row>
    <row r="11">
      <c r="A11" s="9">
        <f>IF(B11="","",COUNTA($B$8:B11))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K11" s="10" t="inlineStr">
        <is>
          <t>Load vs limit</t>
        </is>
      </c>
      <c r="L11" s="13">
        <f>IF(OR($C$4="",$C$4=0),"",L10/$C$4)</f>
        <v/>
      </c>
    </row>
    <row r="12">
      <c r="A12" s="9">
        <f>IF(B12="","",COUNTA($B$8:B12))</f>
        <v/>
      </c>
      <c r="B12" s="4" t="n"/>
      <c r="C12" s="4" t="n"/>
      <c r="D12" s="4" t="n"/>
      <c r="E12" s="4" t="n"/>
      <c r="F12" s="4" t="n"/>
      <c r="G12" s="4" t="n"/>
      <c r="H12" s="4" t="n"/>
      <c r="I12" s="4" t="n"/>
      <c r="K12" s="10" t="inlineStr">
        <is>
          <t>Added during the sprint</t>
        </is>
      </c>
      <c r="L12" s="12">
        <f>SUMIF($G$8:$G$57,"added",$F$8:$F$57)</f>
        <v/>
      </c>
    </row>
    <row r="13">
      <c r="A13" s="9">
        <f>IF(B13="","",COUNTA($B$8:B13))</f>
        <v/>
      </c>
      <c r="B13" s="4" t="n"/>
      <c r="C13" s="4" t="n"/>
      <c r="D13" s="4" t="n"/>
      <c r="E13" s="4" t="n"/>
      <c r="F13" s="4" t="n"/>
      <c r="G13" s="4" t="n"/>
      <c r="H13" s="4" t="n"/>
      <c r="I13" s="4" t="n"/>
      <c r="K13" s="10" t="inlineStr">
        <is>
          <t>Not done</t>
        </is>
      </c>
      <c r="L13" s="12">
        <f>SUMPRODUCT(($B$8:$B$57&lt;&gt;"")*($H$8:$H$57&lt;&gt;"yes"),$F$8:$F$57)</f>
        <v/>
      </c>
    </row>
    <row r="14">
      <c r="A14" s="9">
        <f>IF(B14="","",COUNTA($B$8:B14))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K14" s="10" t="inlineStr">
        <is>
          <t>Share unfinished</t>
        </is>
      </c>
      <c r="L14" s="13">
        <f>IF(L10+L12=0,"",L13/(L10+L12))</f>
        <v/>
      </c>
    </row>
    <row r="15">
      <c r="A15" s="9">
        <f>IF(B15="","",COUNTA($B$8:B15))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K15" s="10" t="inlineStr">
        <is>
          <t>Goal items not done</t>
        </is>
      </c>
      <c r="L15" s="11">
        <f>SUMPRODUCT(($C$8:$C$57="yes")*($H$8:$H$57&lt;&gt;"yes"))</f>
        <v/>
      </c>
    </row>
    <row r="16">
      <c r="A16" s="9">
        <f>IF(B16="","",COUNTA($B$8:B16))</f>
        <v/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9">
        <f>IF(B17="","",COUNTA($B$8:B17))</f>
        <v/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>
        <f>IF(B18="","",COUNTA($B$8:B18))</f>
        <v/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9">
        <f>IF(B19="","",COUNTA($B$8:B19))</f>
        <v/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9">
        <f>IF(B20="","",COUNTA($B$8:B20))</f>
        <v/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9">
        <f>IF(B21="","",COUNTA($B$8:B21))</f>
        <v/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9">
        <f>IF(B22="","",COUNTA($B$8:B22))</f>
        <v/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9">
        <f>IF(B23="","",COUNTA($B$8:B23))</f>
        <v/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9">
        <f>IF(B24="","",COUNTA($B$8:B24))</f>
        <v/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9">
        <f>IF(B25="","",COUNTA($B$8:B25))</f>
        <v/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9">
        <f>IF(B26="","",COUNTA($B$8:B26))</f>
        <v/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9">
        <f>IF(B27="","",COUNTA($B$8:B27))</f>
        <v/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9">
        <f>IF(B28="","",COUNTA($B$8:B28))</f>
        <v/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9">
        <f>IF(B29="","",COUNTA($B$8:B29))</f>
        <v/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9">
        <f>IF(B30="","",COUNTA($B$8:B30))</f>
        <v/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9">
        <f>IF(B31="","",COUNTA($B$8:B31))</f>
        <v/>
      </c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9">
        <f>IF(B32="","",COUNTA($B$8:B32))</f>
        <v/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9">
        <f>IF(B33="","",COUNTA($B$8:B33))</f>
        <v/>
      </c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9">
        <f>IF(B34="","",COUNTA($B$8:B34))</f>
        <v/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9">
        <f>IF(B35="","",COUNTA($B$8:B35))</f>
        <v/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9">
        <f>IF(B36="","",COUNTA($B$8:B36))</f>
        <v/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9">
        <f>IF(B37="","",COUNTA($B$8:B37))</f>
        <v/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9">
        <f>IF(B38="","",COUNTA($B$8:B38))</f>
        <v/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9">
        <f>IF(B39="","",COUNTA($B$8:B39))</f>
        <v/>
      </c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9">
        <f>IF(B40="","",COUNTA($B$8:B40))</f>
        <v/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9">
        <f>IF(B41="","",COUNTA($B$8:B41))</f>
        <v/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9">
        <f>IF(B42="","",COUNTA($B$8:B42))</f>
        <v/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9">
        <f>IF(B43="","",COUNTA($B$8:B43))</f>
        <v/>
      </c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9">
        <f>IF(B44="","",COUNTA($B$8:B44))</f>
        <v/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9">
        <f>IF(B45="","",COUNTA($B$8:B45))</f>
        <v/>
      </c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9">
        <f>IF(B46="","",COUNTA($B$8:B46))</f>
        <v/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9">
        <f>IF(B47="","",COUNTA($B$8:B47))</f>
        <v/>
      </c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9">
        <f>IF(B48="","",COUNTA($B$8:B48))</f>
        <v/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9">
        <f>IF(B49="","",COUNTA($B$8:B49))</f>
        <v/>
      </c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9">
        <f>IF(B50="","",COUNTA($B$8:B50))</f>
        <v/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9">
        <f>IF(B51="","",COUNTA($B$8:B51))</f>
        <v/>
      </c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9">
        <f>IF(B52="","",COUNTA($B$8:B52))</f>
        <v/>
      </c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9">
        <f>IF(B53="","",COUNTA($B$8:B53))</f>
        <v/>
      </c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9">
        <f>IF(B54="","",COUNTA($B$8:B54))</f>
        <v/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9">
        <f>IF(B55="","",COUNTA($B$8:B55))</f>
        <v/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9">
        <f>IF(B56="","",COUNTA($B$8:B56))</f>
        <v/>
      </c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9">
        <f>IF(B57="","",COUNTA($B$8:B57))</f>
        <v/>
      </c>
      <c r="B57" s="4" t="n"/>
      <c r="C57" s="4" t="n"/>
      <c r="D57" s="4" t="n"/>
      <c r="E57" s="4" t="n"/>
      <c r="F57" s="4" t="n"/>
      <c r="G57" s="4" t="n"/>
      <c r="H57" s="4" t="n"/>
      <c r="I57" s="4" t="n"/>
    </row>
  </sheetData>
  <mergeCells count="5">
    <mergeCell ref="C3:I3"/>
    <mergeCell ref="A1:I1"/>
    <mergeCell ref="D4:E4"/>
    <mergeCell ref="C2:I2"/>
    <mergeCell ref="C5:I5"/>
  </mergeCells>
  <dataValidations count="5">
    <dataValidation sqref="G4" showDropDown="0" showInputMessage="0" showErrorMessage="1" allowBlank="1" error="Values: yes,partly,no" type="list" errorStyle="warning">
      <formula1>"yes,partly,no"</formula1>
    </dataValidation>
    <dataValidation sqref="C8:C57" showDropDown="0" showInputMessage="0" showErrorMessage="1" allowBlank="1" error="Values: yes,no" type="list" errorStyle="warning">
      <formula1>"yes,no"</formula1>
    </dataValidation>
    <dataValidation sqref="G8:G57" showDropDown="0" showInputMessage="0" showErrorMessage="1" allowBlank="1" error="Values: planned,added" type="list" errorStyle="warning">
      <formula1>"planned,added"</formula1>
    </dataValidation>
    <dataValidation sqref="H8:H57" showDropDown="0" showInputMessage="0" showErrorMessage="1" allowBlank="1" error="Values: yes,no" type="list" errorStyle="warning">
      <formula1>"yes,no"</formula1>
    </dataValidation>
    <dataValidation sqref="C4 F8:F57" showDropDown="0" showInputMessage="0" showErrorMessage="1" allowBlank="1" error="A non-negative number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9" customWidth="1" min="4" max="4"/>
    <col width="9" customWidth="1" min="5" max="5"/>
    <col width="11" customWidth="1" min="6" max="6"/>
    <col width="11" customWidth="1" min="7" max="7"/>
    <col width="10" customWidth="1" min="8" max="8"/>
    <col width="14" customWidth="1" min="9" max="9"/>
    <col width="11" customWidth="1" min="10" max="10"/>
    <col width="34" customWidth="1" min="12" max="12"/>
    <col width="10" customWidth="1" min="13" max="13"/>
  </cols>
  <sheetData>
    <row r="1">
      <c r="A1" s="1" t="inlineStr">
        <is>
          <t>Sprint history</t>
        </is>
      </c>
    </row>
    <row r="2">
      <c r="A2" s="2" t="n"/>
    </row>
    <row r="4" ht="30" customHeight="1">
      <c r="A4" s="6" t="inlineStr">
        <is>
          <t>Sprint</t>
        </is>
      </c>
      <c r="B4" s="6" t="inlineStr">
        <is>
          <t>Sprint goal</t>
        </is>
      </c>
      <c r="C4" s="6" t="inlineStr">
        <is>
          <t>Goal achieved</t>
        </is>
      </c>
      <c r="D4" s="6" t="inlineStr">
        <is>
          <t>Limit</t>
        </is>
      </c>
      <c r="E4" s="6" t="inlineStr">
        <is>
          <t>Taken</t>
        </is>
      </c>
      <c r="F4" s="6" t="inlineStr">
        <is>
          <t>Added</t>
        </is>
      </c>
      <c r="G4" s="6" t="inlineStr">
        <is>
          <t>Not done</t>
        </is>
      </c>
      <c r="H4" s="6" t="inlineStr">
        <is>
          <t>Done</t>
        </is>
      </c>
      <c r="I4" s="6" t="inlineStr">
        <is>
          <t>Share unfinished</t>
        </is>
      </c>
      <c r="J4" s="6" t="inlineStr">
        <is>
          <t>All done</t>
        </is>
      </c>
      <c r="L4" s="7" t="inlineStr">
        <is>
          <t>Over the last 10 sprints</t>
        </is>
      </c>
      <c r="M4" s="8" t="n"/>
    </row>
    <row r="5">
      <c r="A5" s="4" t="n"/>
      <c r="B5" s="4" t="n"/>
      <c r="C5" s="4" t="n"/>
      <c r="D5" s="4" t="n"/>
      <c r="E5" s="4" t="n"/>
      <c r="F5" s="4" t="n"/>
      <c r="G5" s="4" t="n"/>
      <c r="H5" s="14">
        <f>IF(OR(E5="",G5=""),"",E5+N(F5)-G5)</f>
        <v/>
      </c>
      <c r="I5" s="15">
        <f>IF(OR(E5="",G5=""),"",IF(E5+N(F5)=0,"",G5/(E5+N(F5))))</f>
        <v/>
      </c>
      <c r="J5" s="9">
        <f>IF(OR(E5="",G5=""),"",IF(G5=0,"yes","no"))</f>
        <v/>
      </c>
      <c r="L5" s="10" t="inlineStr">
        <is>
          <t>Sprints in history</t>
        </is>
      </c>
      <c r="M5" s="11">
        <f>COUNTA(A5:A30)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14">
        <f>IF(OR(E6="",G6=""),"",E6+N(F6)-G6)</f>
        <v/>
      </c>
      <c r="I6" s="15">
        <f>IF(OR(E6="",G6=""),"",IF(E6+N(F6)=0,"",G6/(E6+N(F6))))</f>
        <v/>
      </c>
      <c r="J6" s="9">
        <f>IF(OR(E6="",G6=""),"",IF(G6=0,"yes","no"))</f>
        <v/>
      </c>
      <c r="L6" s="10" t="inlineStr">
        <is>
          <t>Goal achieved</t>
        </is>
      </c>
      <c r="M6" s="11">
        <f>COUNTIF(C5:C30,"yes")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14">
        <f>IF(OR(E7="",G7=""),"",E7+N(F7)-G7)</f>
        <v/>
      </c>
      <c r="I7" s="15">
        <f>IF(OR(E7="",G7=""),"",IF(E7+N(F7)=0,"",G7/(E7+N(F7))))</f>
        <v/>
      </c>
      <c r="J7" s="9">
        <f>IF(OR(E7="",G7=""),"",IF(G7=0,"yes","no"))</f>
        <v/>
      </c>
      <c r="L7" s="10" t="inlineStr">
        <is>
          <t>Everything taken was done</t>
        </is>
      </c>
      <c r="M7" s="11">
        <f>COUNTIF(J5:J30,"yes")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14">
        <f>IF(OR(E8="",G8=""),"",E8+N(F8)-G8)</f>
        <v/>
      </c>
      <c r="I8" s="15">
        <f>IF(OR(E8="",G8=""),"",IF(E8+N(F8)=0,"",G8/(E8+N(F8))))</f>
        <v/>
      </c>
      <c r="J8" s="9">
        <f>IF(OR(E8="",G8=""),"",IF(G8=0,"yes","no"))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14">
        <f>IF(OR(E9="",G9=""),"",E9+N(F9)-G9)</f>
        <v/>
      </c>
      <c r="I9" s="15">
        <f>IF(OR(E9="",G9=""),"",IF(E9+N(F9)=0,"",G9/(E9+N(F9))))</f>
        <v/>
      </c>
      <c r="J9" s="9">
        <f>IF(OR(E9="",G9=""),"",IF(G9=0,"yes","no"))</f>
        <v/>
      </c>
      <c r="L9" s="2" t="n"/>
    </row>
    <row r="10">
      <c r="A10" s="4" t="n"/>
      <c r="B10" s="4" t="n"/>
      <c r="C10" s="4" t="n"/>
      <c r="D10" s="4" t="n"/>
      <c r="E10" s="4" t="n"/>
      <c r="F10" s="4" t="n"/>
      <c r="G10" s="4" t="n"/>
      <c r="H10" s="14">
        <f>IF(OR(E10="",G10=""),"",E10+N(F10)-G10)</f>
        <v/>
      </c>
      <c r="I10" s="15">
        <f>IF(OR(E10="",G10=""),"",IF(E10+N(F10)=0,"",G10/(E10+N(F10))))</f>
        <v/>
      </c>
      <c r="J10" s="9">
        <f>IF(OR(E10="",G10=""),"",IF(G10=0,"yes","no"))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14">
        <f>IF(OR(E11="",G11=""),"",E11+N(F11)-G11)</f>
        <v/>
      </c>
      <c r="I11" s="15">
        <f>IF(OR(E11="",G11=""),"",IF(E11+N(F11)=0,"",G11/(E11+N(F11))))</f>
        <v/>
      </c>
      <c r="J11" s="9">
        <f>IF(OR(E11="",G11=""),"",IF(G11=0,"yes","no"))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14">
        <f>IF(OR(E12="",G12=""),"",E12+N(F12)-G12)</f>
        <v/>
      </c>
      <c r="I12" s="15">
        <f>IF(OR(E12="",G12=""),"",IF(E12+N(F12)=0,"",G12/(E12+N(F12))))</f>
        <v/>
      </c>
      <c r="J12" s="9">
        <f>IF(OR(E12="",G12=""),"",IF(G12=0,"yes","no"))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14">
        <f>IF(OR(E13="",G13=""),"",E13+N(F13)-G13)</f>
        <v/>
      </c>
      <c r="I13" s="15">
        <f>IF(OR(E13="",G13=""),"",IF(E13+N(F13)=0,"",G13/(E13+N(F13))))</f>
        <v/>
      </c>
      <c r="J13" s="9">
        <f>IF(OR(E13="",G13=""),"",IF(G13=0,"yes","no"))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14">
        <f>IF(OR(E14="",G14=""),"",E14+N(F14)-G14)</f>
        <v/>
      </c>
      <c r="I14" s="15">
        <f>IF(OR(E14="",G14=""),"",IF(E14+N(F14)=0,"",G14/(E14+N(F14))))</f>
        <v/>
      </c>
      <c r="J14" s="9">
        <f>IF(OR(E14="",G14=""),"",IF(G14=0,"yes","no"))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14">
        <f>IF(OR(E15="",G15=""),"",E15+N(F15)-G15)</f>
        <v/>
      </c>
      <c r="I15" s="15">
        <f>IF(OR(E15="",G15=""),"",IF(E15+N(F15)=0,"",G15/(E15+N(F15))))</f>
        <v/>
      </c>
      <c r="J15" s="9">
        <f>IF(OR(E15="",G15=""),"",IF(G15=0,"yes","no"))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14">
        <f>IF(OR(E16="",G16=""),"",E16+N(F16)-G16)</f>
        <v/>
      </c>
      <c r="I16" s="15">
        <f>IF(OR(E16="",G16=""),"",IF(E16+N(F16)=0,"",G16/(E16+N(F16))))</f>
        <v/>
      </c>
      <c r="J16" s="9">
        <f>IF(OR(E16="",G16=""),"",IF(G16=0,"yes","no"))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14">
        <f>IF(OR(E17="",G17=""),"",E17+N(F17)-G17)</f>
        <v/>
      </c>
      <c r="I17" s="15">
        <f>IF(OR(E17="",G17=""),"",IF(E17+N(F17)=0,"",G17/(E17+N(F17))))</f>
        <v/>
      </c>
      <c r="J17" s="9">
        <f>IF(OR(E17="",G17=""),"",IF(G17=0,"yes","no"))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14">
        <f>IF(OR(E18="",G18=""),"",E18+N(F18)-G18)</f>
        <v/>
      </c>
      <c r="I18" s="15">
        <f>IF(OR(E18="",G18=""),"",IF(E18+N(F18)=0,"",G18/(E18+N(F18))))</f>
        <v/>
      </c>
      <c r="J18" s="9">
        <f>IF(OR(E18="",G18=""),"",IF(G18=0,"yes","no"))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14">
        <f>IF(OR(E19="",G19=""),"",E19+N(F19)-G19)</f>
        <v/>
      </c>
      <c r="I19" s="15">
        <f>IF(OR(E19="",G19=""),"",IF(E19+N(F19)=0,"",G19/(E19+N(F19))))</f>
        <v/>
      </c>
      <c r="J19" s="9">
        <f>IF(OR(E19="",G19=""),"",IF(G19=0,"yes","no"))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14">
        <f>IF(OR(E20="",G20=""),"",E20+N(F20)-G20)</f>
        <v/>
      </c>
      <c r="I20" s="15">
        <f>IF(OR(E20="",G20=""),"",IF(E20+N(F20)=0,"",G20/(E20+N(F20))))</f>
        <v/>
      </c>
      <c r="J20" s="9">
        <f>IF(OR(E20="",G20=""),"",IF(G20=0,"yes","no"))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14">
        <f>IF(OR(E21="",G21=""),"",E21+N(F21)-G21)</f>
        <v/>
      </c>
      <c r="I21" s="15">
        <f>IF(OR(E21="",G21=""),"",IF(E21+N(F21)=0,"",G21/(E21+N(F21))))</f>
        <v/>
      </c>
      <c r="J21" s="9">
        <f>IF(OR(E21="",G21=""),"",IF(G21=0,"yes","no"))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14">
        <f>IF(OR(E22="",G22=""),"",E22+N(F22)-G22)</f>
        <v/>
      </c>
      <c r="I22" s="15">
        <f>IF(OR(E22="",G22=""),"",IF(E22+N(F22)=0,"",G22/(E22+N(F22))))</f>
        <v/>
      </c>
      <c r="J22" s="9">
        <f>IF(OR(E22="",G22=""),"",IF(G22=0,"yes","no"))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14">
        <f>IF(OR(E23="",G23=""),"",E23+N(F23)-G23)</f>
        <v/>
      </c>
      <c r="I23" s="15">
        <f>IF(OR(E23="",G23=""),"",IF(E23+N(F23)=0,"",G23/(E23+N(F23))))</f>
        <v/>
      </c>
      <c r="J23" s="9">
        <f>IF(OR(E23="",G23=""),"",IF(G23=0,"yes","no"))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14">
        <f>IF(OR(E24="",G24=""),"",E24+N(F24)-G24)</f>
        <v/>
      </c>
      <c r="I24" s="15">
        <f>IF(OR(E24="",G24=""),"",IF(E24+N(F24)=0,"",G24/(E24+N(F24))))</f>
        <v/>
      </c>
      <c r="J24" s="9">
        <f>IF(OR(E24="",G24=""),"",IF(G24=0,"yes","no"))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14">
        <f>IF(OR(E25="",G25=""),"",E25+N(F25)-G25)</f>
        <v/>
      </c>
      <c r="I25" s="15">
        <f>IF(OR(E25="",G25=""),"",IF(E25+N(F25)=0,"",G25/(E25+N(F25))))</f>
        <v/>
      </c>
      <c r="J25" s="9">
        <f>IF(OR(E25="",G25=""),"",IF(G25=0,"yes","no"))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14">
        <f>IF(OR(E26="",G26=""),"",E26+N(F26)-G26)</f>
        <v/>
      </c>
      <c r="I26" s="15">
        <f>IF(OR(E26="",G26=""),"",IF(E26+N(F26)=0,"",G26/(E26+N(F26))))</f>
        <v/>
      </c>
      <c r="J26" s="9">
        <f>IF(OR(E26="",G26=""),"",IF(G26=0,"yes","no"))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14">
        <f>IF(OR(E27="",G27=""),"",E27+N(F27)-G27)</f>
        <v/>
      </c>
      <c r="I27" s="15">
        <f>IF(OR(E27="",G27=""),"",IF(E27+N(F27)=0,"",G27/(E27+N(F27))))</f>
        <v/>
      </c>
      <c r="J27" s="9">
        <f>IF(OR(E27="",G27=""),"",IF(G27=0,"yes","no"))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14">
        <f>IF(OR(E28="",G28=""),"",E28+N(F28)-G28)</f>
        <v/>
      </c>
      <c r="I28" s="15">
        <f>IF(OR(E28="",G28=""),"",IF(E28+N(F28)=0,"",G28/(E28+N(F28))))</f>
        <v/>
      </c>
      <c r="J28" s="9">
        <f>IF(OR(E28="",G28=""),"",IF(G28=0,"yes","no"))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14">
        <f>IF(OR(E29="",G29=""),"",E29+N(F29)-G29)</f>
        <v/>
      </c>
      <c r="I29" s="15">
        <f>IF(OR(E29="",G29=""),"",IF(E29+N(F29)=0,"",G29/(E29+N(F29))))</f>
        <v/>
      </c>
      <c r="J29" s="9">
        <f>IF(OR(E29="",G29=""),"",IF(G29=0,"yes","no"))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14">
        <f>IF(OR(E30="",G30=""),"",E30+N(F30)-G30)</f>
        <v/>
      </c>
      <c r="I30" s="15">
        <f>IF(OR(E30="",G30=""),"",IF(E30+N(F30)=0,"",G30/(E30+N(F30))))</f>
        <v/>
      </c>
      <c r="J30" s="9">
        <f>IF(OR(E30="",G30=""),"",IF(G30=0,"yes","no"))</f>
        <v/>
      </c>
    </row>
  </sheetData>
  <dataValidations count="2">
    <dataValidation sqref="C5:C30" showDropDown="0" showInputMessage="0" showErrorMessage="1" allowBlank="1" error="Values: yes,partly,no" type="list" errorStyle="warning">
      <formula1>"yes,partly,no"</formula1>
    </dataValidation>
    <dataValidation sqref="D5:G30" showDropDown="0" showInputMessage="0" showErrorMessage="1" allowBlank="1" error="A non-negative number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2026-10-22T07:08:35Z</dcterms:created>
  <dcterms:modified xmlns:dcterms="http://purl.org/dc/terms/" xmlns:xsi="http://www.w3.org/2001/XMLSchema-instance" xsi:type="dcterms:W3CDTF">2026-10-22T07:08:35Z</dcterms:modified>
</cp:coreProperties>
</file>