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data_start">'Test cases'!$A$7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B7280"/>
      <sz val="11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E8F0FC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C9CED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1" fontId="3" fillId="3" borderId="0" pivotButton="0" quotePrefix="0" xfId="0"/>
    <xf numFmtId="9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pdm-skills</author>
  </authors>
  <commentList>
    <comment ref="A6" authorId="0" shapeId="0">
      <text>
        <t>A unique case code. It does not change while the case lives: it links the case to a requirement and a defect.</t>
      </text>
    </comment>
    <comment ref="B6" authorId="0" shapeId="0">
      <text>
        <t>The goal of the case in one line: what we check and under what condition. Not "verify correctness": be specific, e.g. "method, scenario".</t>
      </text>
    </comment>
    <comment ref="C6" authorId="0" shapeId="0">
      <text>
        <t>main, negative, validation or boundary. Helps to see which checks are missing.</t>
      </text>
    </comment>
    <comment ref="D6" authorId="0" shapeId="0">
      <text>
        <t>The importance of running the case, if needed: high, medium or low. Rely on the risk from row 3.</t>
      </text>
    </comment>
    <comment ref="E6" authorId="0" shapeId="0">
      <text>
        <t>The state of the environment and data before the first step: what must exist and in what form. May refer to another case that prepares it.</t>
      </text>
    </comment>
    <comment ref="F6" authorId="0" shapeId="0">
      <text>
        <t>One row is one action and, right after it, the expected result: "action → result". Specific data and values go in the step itself.</t>
      </text>
    </comment>
    <comment ref="G6" authorId="0" shapeId="0">
      <text>
        <t>What the output should be overall: values, status, state. Fixed in advance and by the requirement, not by what the system showed.</t>
      </text>
    </comment>
    <comment ref="H6" authorId="0" shapeId="0">
      <text>
        <t>Where the expected result comes from: a requirement item, documentation, an agreement. Not the code of the system under test.</t>
      </text>
    </comment>
    <comment ref="I6" authorId="0" shapeId="0">
      <text>
        <t>Filled in during the run: passed, failed or skipped.</t>
      </text>
    </comment>
    <comment ref="J6" authorId="0" shapeId="0">
      <text>
        <t>Filled in during the run: what was actually obtained. For a failed case — what differs from the expected.</t>
      </text>
    </comment>
    <comment ref="L7" authorId="0" shapeId="0">
      <text>
        <t>How many cases are in the table.</t>
      </text>
    </comment>
    <comment ref="L8" authorId="0" shapeId="0">
      <text>
        <t>Main scenarios alone are a blind spot: failures and boundaries are unchecked.</t>
      </text>
    </comment>
    <comment ref="L9" authorId="0" shapeId="0">
      <text>
        <t>Checks for wrong actions and failures.</t>
      </text>
    </comment>
    <comment ref="L10" authorId="0" shapeId="0">
      <text>
        <t>Checks of input data.</t>
      </text>
    </comment>
    <comment ref="L11" authorId="0" shapeId="0">
      <text>
        <t>Checks at the limits of valid values.</t>
      </text>
    </comment>
    <comment ref="L12" authorId="0" shapeId="0">
      <text>
        <t>Cases with an empty "Expected outcome" column. Must be 0: without an expected result it is not a check.</t>
      </text>
    </comment>
    <comment ref="L13" authorId="0" shapeId="0">
      <text>
        <t>Cases with the value "passed" or "failed". Skipped ones are not counted.</t>
      </text>
    </comment>
    <comment ref="L14" authorId="0" shapeId="0">
      <text>
        <t>Every failed case is a reason to file a defect or fix the case itself.</t>
      </text>
    </comment>
    <comment ref="L15" authorId="0" shapeId="0">
      <text>
        <t>Passed divided by run. Not a measure of product quality: it only shows that these cases were checked.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1" customWidth="1" min="4" max="4"/>
    <col width="34" customWidth="1" min="5" max="5"/>
    <col width="52" customWidth="1" min="6" max="6"/>
    <col width="32" customWidth="1" min="7" max="7"/>
    <col width="28" customWidth="1" min="8" max="8"/>
    <col width="11" customWidth="1" min="9" max="9"/>
    <col width="28" customWidth="1" min="10" max="10"/>
    <col width="3" customWidth="1" min="11" max="11"/>
    <col width="34" customWidth="1" min="12" max="12"/>
    <col width="12" customWidth="1" min="13" max="13"/>
  </cols>
  <sheetData>
    <row r="1">
      <c r="A1" s="1" t="inlineStr">
        <is>
          <t>Test Case: {{title: what is tested, product, version and date}}</t>
        </is>
      </c>
    </row>
    <row r="2" ht="32" customHeight="1">
      <c r="A2" s="2" t="inlineStr">
        <is>
          <t>Under test:</t>
        </is>
      </c>
      <c r="C2" s="3" t="inlineStr">
        <is>
          <t>{{item: requirement or task, with link}}</t>
        </is>
      </c>
    </row>
    <row r="3" ht="32" customHeight="1">
      <c r="A3" s="2" t="inlineStr">
        <is>
          <t>Risk:</t>
        </is>
      </c>
      <c r="C3" s="4" t="inlineStr">
        <is>
          <t>{{risk: what happens to the user or business}}</t>
        </is>
      </c>
    </row>
    <row r="4" ht="32" customHeight="1">
      <c r="A4" s="2" t="inlineStr">
        <is>
          <t>Environment:</t>
        </is>
      </c>
      <c r="C4" s="4" t="inlineStr">
        <is>
          <t>{{env: test environment, build, data and access}}</t>
        </is>
      </c>
    </row>
    <row r="6" ht="34" customHeight="1">
      <c r="A6" s="5" t="inlineStr">
        <is>
          <t>ID</t>
        </is>
      </c>
      <c r="B6" s="5" t="inlineStr">
        <is>
          <t>Title</t>
        </is>
      </c>
      <c r="C6" s="5" t="inlineStr">
        <is>
          <t>Type</t>
        </is>
      </c>
      <c r="D6" s="5" t="inlineStr">
        <is>
          <t>Priority</t>
        </is>
      </c>
      <c r="E6" s="5" t="inlineStr">
        <is>
          <t>Preconditions</t>
        </is>
      </c>
      <c r="F6" s="5" t="inlineStr">
        <is>
          <t>Steps: action → expected result</t>
        </is>
      </c>
      <c r="G6" s="5" t="inlineStr">
        <is>
          <t>Expected outcome</t>
        </is>
      </c>
      <c r="H6" s="5" t="inlineStr">
        <is>
          <t>Basis</t>
        </is>
      </c>
      <c r="I6" s="5" t="inlineStr">
        <is>
          <t>Result</t>
        </is>
      </c>
      <c r="J6" s="5" t="inlineStr">
        <is>
          <t>Actual result</t>
        </is>
      </c>
      <c r="L6" s="6" t="inlineStr">
        <is>
          <t>Summary</t>
        </is>
      </c>
      <c r="M6" s="7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L7" s="8" t="inlineStr">
        <is>
          <t>Cases</t>
        </is>
      </c>
      <c r="M7" s="9">
        <f>COUNTA($B$7:$B$56)</f>
        <v/>
      </c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L8" s="8" t="inlineStr">
        <is>
          <t>Main</t>
        </is>
      </c>
      <c r="M8" s="9">
        <f>COUNTIF($C$7:$C$56,"main")</f>
        <v/>
      </c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L9" s="8" t="inlineStr">
        <is>
          <t>Negative</t>
        </is>
      </c>
      <c r="M9" s="9">
        <f>COUNTIF($C$7:$C$56,"negative")</f>
        <v/>
      </c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L10" s="8" t="inlineStr">
        <is>
          <t>Validation</t>
        </is>
      </c>
      <c r="M10" s="9">
        <f>COUNTIF($C$7:$C$56,"validation")</f>
        <v/>
      </c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L11" s="8" t="inlineStr">
        <is>
          <t>Boundary</t>
        </is>
      </c>
      <c r="M11" s="9">
        <f>COUNTIF($C$7:$C$56,"boundary")</f>
        <v/>
      </c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L12" s="8" t="inlineStr">
        <is>
          <t>No expected outcome</t>
        </is>
      </c>
      <c r="M12" s="9">
        <f>SUMPRODUCT(($B$7:$B$56&lt;&gt;"")*($G$7:$G$56=""))</f>
        <v/>
      </c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L13" s="8" t="inlineStr">
        <is>
          <t>Run</t>
        </is>
      </c>
      <c r="M13" s="9">
        <f>COUNTIF($I$7:$I$56,"passed")+COUNTIF($I$7:$I$56,"failed")</f>
        <v/>
      </c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L14" s="8" t="inlineStr">
        <is>
          <t>Failed</t>
        </is>
      </c>
      <c r="M14" s="9">
        <f>COUNTIF($I$7:$I$56,"failed")</f>
        <v/>
      </c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L15" s="8" t="inlineStr">
        <is>
          <t>Pass rate</t>
        </is>
      </c>
      <c r="M15" s="10">
        <f>IF(M13=0,"",COUNTIF($I$7:$I$56,"passed")/M13)</f>
        <v/>
      </c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</row>
  </sheetData>
  <mergeCells count="4">
    <mergeCell ref="C4:J4"/>
    <mergeCell ref="A1:J1"/>
    <mergeCell ref="C3:J3"/>
    <mergeCell ref="C2:J2"/>
  </mergeCells>
  <dataValidations count="3">
    <dataValidation sqref="C7:C56" showDropDown="0" showInputMessage="0" showErrorMessage="1" allowBlank="1" error="Values: main,negative,validation,boundary" type="list" errorStyle="warning">
      <formula1>"main,negative,validation,boundary"</formula1>
    </dataValidation>
    <dataValidation sqref="D7:D56" showDropDown="0" showInputMessage="0" showErrorMessage="1" allowBlank="1" error="Values: high,medium,low" type="list" errorStyle="warning">
      <formula1>"high,medium,low"</formula1>
    </dataValidation>
    <dataValidation sqref="I7:I56" showDropDown="0" showInputMessage="0" showErrorMessage="1" allowBlank="1" error="Values: passed,failed,skipped" type="list" errorStyle="warning">
      <formula1>"passed,failed,skipped"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2026-10-22T07:09:12Z</dcterms:created>
  <dcterms:modified xmlns:dcterms="http://purl.org/dc/terms/" xmlns:xsi="http://www.w3.org/2001/XMLSchema-instance" xsi:type="dcterms:W3CDTF">2026-10-22T07:09:12Z</dcterms:modified>
</cp:coreProperties>
</file>